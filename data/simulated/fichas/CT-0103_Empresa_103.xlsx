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0370" yWindow="-120" windowWidth="29040" windowHeight="15840" tabRatio="600" firstSheet="0" activeTab="0" autoFilterDateGrouping="1"/>
  </bookViews>
  <sheets>
    <sheet xmlns:r="http://schemas.openxmlformats.org/officeDocument/2006/relationships" name="FLI CT-001" sheetId="1" state="visible" r:id="rId1"/>
    <sheet xmlns:r="http://schemas.openxmlformats.org/officeDocument/2006/relationships" name="listas_desplegable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8">
    <numFmt numFmtId="164" formatCode="_-* #,##0.0000_-;\-* #,##0.0000_-;_-* &quot;-&quot;????_-;_-@_-"/>
    <numFmt numFmtId="165" formatCode="_ * #,##0.000_ ;_ * \-#,##0.000_ ;_ * &quot;-&quot;??_ ;_ @_ "/>
    <numFmt numFmtId="166" formatCode="_ * #,##0.00_ ;_ * \-#,##0.00_ ;_ * &quot;-&quot;??_ ;_ @_ "/>
    <numFmt numFmtId="167" formatCode="_ * #,##0.000_ ;_ * \-#,##0.000_ ;_ * &quot;-&quot;???_ ;_ @_ "/>
    <numFmt numFmtId="168" formatCode="_ * #,##0_ ;_ * \-#,##0_ ;_ * &quot;-&quot;_ ;_ @_ "/>
    <numFmt numFmtId="169" formatCode="&quot;$&quot;#,##0.00"/>
    <numFmt numFmtId="170" formatCode="0000000000000"/>
    <numFmt numFmtId="171" formatCode="_-* #,##0.0_-;\-* #,##0.0_-;_-* &quot;-&quot;?_-;_-@_-"/>
  </numFmts>
  <fonts count="18">
    <font>
      <name val="Calibri"/>
      <family val="2"/>
      <color theme="1"/>
      <sz val="11"/>
      <scheme val="minor"/>
    </font>
    <font>
      <name val="Verdana"/>
      <family val="2"/>
      <b val="1"/>
      <color rgb="FFFFFFFF"/>
      <sz val="10"/>
    </font>
    <font>
      <name val="Verdana"/>
      <family val="2"/>
      <color theme="1"/>
      <sz val="10"/>
    </font>
    <font>
      <name val="Verdana"/>
      <family val="2"/>
      <b val="1"/>
      <color theme="1"/>
      <sz val="10"/>
    </font>
    <font>
      <name val="Verdana"/>
      <family val="2"/>
      <color rgb="FF333333"/>
      <sz val="10"/>
    </font>
    <font>
      <name val="Verdana"/>
      <family val="2"/>
      <color rgb="FF000000"/>
      <sz val="10"/>
    </font>
    <font>
      <name val="Verdana"/>
      <family val="2"/>
      <i val="1"/>
      <color rgb="FF999999"/>
      <sz val="10"/>
    </font>
    <font>
      <name val="Verdana"/>
      <family val="2"/>
      <b val="1"/>
      <color rgb="FF333333"/>
      <sz val="10"/>
    </font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  <scheme val="minor"/>
    </font>
    <font>
      <name val="Verdana"/>
      <family val="2"/>
      <color theme="10"/>
      <sz val="10"/>
      <u val="single"/>
    </font>
    <font>
      <name val="Verdana"/>
      <family val="2"/>
      <i val="1"/>
      <color theme="1"/>
      <sz val="8"/>
    </font>
    <font>
      <name val="Verdana"/>
      <family val="2"/>
      <color rgb="FFFFFFFF"/>
      <sz val="10"/>
    </font>
    <font>
      <name val="Verdana"/>
      <family val="2"/>
      <color rgb="FF333333"/>
      <sz val="8"/>
    </font>
    <font>
      <name val="Verdana"/>
      <family val="2"/>
      <b val="1"/>
      <color theme="0"/>
      <sz val="10"/>
    </font>
    <font>
      <name val="Calibri"/>
      <family val="2"/>
      <b val="1"/>
      <color theme="0"/>
      <sz val="11"/>
    </font>
    <font>
      <name val="Verdana"/>
      <family val="2"/>
      <b val="1"/>
      <color theme="1"/>
      <sz val="12"/>
    </font>
    <font>
      <name val="Verdana"/>
      <family val="2"/>
      <i val="1"/>
      <color theme="1"/>
      <sz val="10"/>
    </font>
  </fonts>
  <fills count="12">
    <fill>
      <patternFill/>
    </fill>
    <fill>
      <patternFill patternType="gray125"/>
    </fill>
    <fill>
      <patternFill patternType="solid">
        <fgColor rgb="FFC2185B"/>
      </patternFill>
    </fill>
    <fill>
      <patternFill patternType="solid">
        <fgColor rgb="FFFFF9C4"/>
      </patternFill>
    </fill>
    <fill>
      <patternFill patternType="solid">
        <fgColor rgb="FFFFFFFF"/>
      </patternFill>
    </fill>
    <fill>
      <patternFill patternType="solid">
        <fgColor theme="0"/>
        <bgColor indexed="64"/>
      </patternFill>
    </fill>
    <fill>
      <patternFill patternType="solid">
        <fgColor rgb="FFD2006E"/>
        <bgColor indexed="64"/>
      </patternFill>
    </fill>
    <fill>
      <patternFill patternType="solid">
        <fgColor rgb="FFFFB9DE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FFEBF5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3">
    <xf numFmtId="0" fontId="8" fillId="0" borderId="0"/>
    <xf numFmtId="9" fontId="8" fillId="0" borderId="0"/>
    <xf numFmtId="0" fontId="9" fillId="0" borderId="0"/>
  </cellStyleXfs>
  <cellXfs count="173">
    <xf numFmtId="0" fontId="0" fillId="0" borderId="0" pivotButton="0" quotePrefix="0" xfId="0"/>
    <xf numFmtId="0" fontId="2" fillId="0" borderId="0" pivotButton="0" quotePrefix="0" xfId="0"/>
    <xf numFmtId="0" fontId="7" fillId="7" borderId="1" applyAlignment="1" pivotButton="0" quotePrefix="0" xfId="0">
      <alignment horizontal="left" vertical="center" wrapText="1"/>
    </xf>
    <xf numFmtId="0" fontId="1" fillId="8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0" fontId="7" fillId="7" borderId="5" applyAlignment="1" pivotButton="0" quotePrefix="0" xfId="0">
      <alignment horizontal="left" vertical="center" wrapText="1"/>
    </xf>
    <xf numFmtId="0" fontId="7" fillId="7" borderId="4" applyAlignment="1" pivotButton="0" quotePrefix="0" xfId="0">
      <alignment horizontal="left" vertical="center" wrapText="1"/>
    </xf>
    <xf numFmtId="0" fontId="2" fillId="0" borderId="1" applyAlignment="1" pivotButton="0" quotePrefix="0" xfId="0">
      <alignment vertical="center"/>
    </xf>
    <xf numFmtId="0" fontId="2" fillId="0" borderId="1" applyAlignment="1" pivotButton="0" quotePrefix="0" xfId="0">
      <alignment vertical="center" wrapText="1"/>
    </xf>
    <xf numFmtId="0" fontId="2" fillId="0" borderId="1" applyAlignment="1" pivotButton="0" quotePrefix="0" xfId="0">
      <alignment horizontal="left" vertical="center"/>
    </xf>
    <xf numFmtId="0" fontId="7" fillId="7" borderId="1" applyAlignment="1" pivotButton="0" quotePrefix="0" xfId="0">
      <alignment vertical="center" wrapText="1"/>
    </xf>
    <xf numFmtId="164" fontId="2" fillId="0" borderId="1" applyAlignment="1" pivotButton="0" quotePrefix="0" xfId="0">
      <alignment vertical="center"/>
    </xf>
    <xf numFmtId="0" fontId="0" fillId="0" borderId="0" applyAlignment="1" pivotButton="0" quotePrefix="0" xfId="0">
      <alignment wrapText="1"/>
    </xf>
    <xf numFmtId="0" fontId="6" fillId="4" borderId="0" applyAlignment="1" pivotButton="0" quotePrefix="0" xfId="0">
      <alignment vertical="center"/>
    </xf>
    <xf numFmtId="0" fontId="2" fillId="5" borderId="0" pivotButton="0" quotePrefix="0" xfId="0"/>
    <xf numFmtId="0" fontId="2" fillId="5" borderId="1" pivotButton="0" quotePrefix="0" xfId="0"/>
    <xf numFmtId="0" fontId="2" fillId="9" borderId="1" pivotButton="0" quotePrefix="0" xfId="0"/>
    <xf numFmtId="0" fontId="2" fillId="10" borderId="1" pivotButton="0" quotePrefix="0" xfId="0"/>
    <xf numFmtId="0" fontId="0" fillId="0" borderId="1" applyAlignment="1" pivotButton="0" quotePrefix="0" xfId="0">
      <alignment vertical="center"/>
    </xf>
    <xf numFmtId="0" fontId="14" fillId="8" borderId="1" applyAlignment="1" pivotButton="0" quotePrefix="0" xfId="0">
      <alignment horizontal="center" vertical="center"/>
    </xf>
    <xf numFmtId="0" fontId="2" fillId="10" borderId="1" applyAlignment="1" pivotButton="0" quotePrefix="0" xfId="0">
      <alignment vertical="center" wrapText="1"/>
    </xf>
    <xf numFmtId="0" fontId="2" fillId="10" borderId="4" applyAlignment="1" pivotButton="0" quotePrefix="0" xfId="0">
      <alignment vertical="center" wrapText="1"/>
    </xf>
    <xf numFmtId="0" fontId="4" fillId="10" borderId="4" applyAlignment="1" pivotButton="0" quotePrefix="0" xfId="0">
      <alignment vertical="center" wrapText="1"/>
    </xf>
    <xf numFmtId="0" fontId="15" fillId="0" borderId="0" applyAlignment="1" pivotButton="0" quotePrefix="0" xfId="0">
      <alignment horizontal="center" vertical="top"/>
    </xf>
    <xf numFmtId="0" fontId="3" fillId="0" borderId="4" applyAlignment="1" pivotButton="0" quotePrefix="0" xfId="0">
      <alignment vertical="center"/>
    </xf>
    <xf numFmtId="0" fontId="17" fillId="5" borderId="0" pivotButton="0" quotePrefix="0" xfId="0"/>
    <xf numFmtId="0" fontId="3" fillId="5" borderId="0" pivotButton="0" quotePrefix="0" xfId="0"/>
    <xf numFmtId="0" fontId="4" fillId="5" borderId="1" applyAlignment="1" applyProtection="1" pivotButton="0" quotePrefix="0" xfId="0">
      <alignment horizontal="left" vertical="center" wrapText="1"/>
      <protection locked="0" hidden="0"/>
    </xf>
    <xf numFmtId="0" fontId="2" fillId="5" borderId="1" applyProtection="1" pivotButton="0" quotePrefix="0" xfId="0">
      <protection locked="0" hidden="0"/>
    </xf>
    <xf numFmtId="0" fontId="5" fillId="9" borderId="1" applyAlignment="1" applyProtection="1" pivotButton="0" quotePrefix="0" xfId="0">
      <alignment horizontal="center" vertical="center" wrapText="1"/>
      <protection locked="0" hidden="0"/>
    </xf>
    <xf numFmtId="0" fontId="2" fillId="9" borderId="1" applyAlignment="1" applyProtection="1" pivotButton="0" quotePrefix="0" xfId="0">
      <alignment horizontal="center"/>
      <protection locked="0" hidden="0"/>
    </xf>
    <xf numFmtId="0" fontId="3" fillId="0" borderId="1" applyAlignment="1" pivotButton="0" quotePrefix="0" xfId="0">
      <alignment horizontal="center" vertical="center"/>
    </xf>
    <xf numFmtId="0" fontId="5" fillId="9" borderId="2" applyAlignment="1" applyProtection="1" pivotButton="0" quotePrefix="0" xfId="0">
      <alignment horizontal="left" vertical="center" wrapText="1"/>
      <protection locked="0" hidden="0"/>
    </xf>
    <xf numFmtId="0" fontId="5" fillId="9" borderId="3" applyAlignment="1" applyProtection="1" pivotButton="0" quotePrefix="0" xfId="0">
      <alignment horizontal="left" vertical="center" wrapText="1"/>
      <protection locked="0" hidden="0"/>
    </xf>
    <xf numFmtId="0" fontId="5" fillId="9" borderId="4" applyAlignment="1" applyProtection="1" pivotButton="0" quotePrefix="0" xfId="0">
      <alignment horizontal="left" vertical="center" wrapText="1"/>
      <protection locked="0" hidden="0"/>
    </xf>
    <xf numFmtId="0" fontId="2" fillId="0" borderId="2" applyAlignment="1" applyProtection="1" pivotButton="0" quotePrefix="0" xfId="0">
      <alignment horizontal="center" vertical="center"/>
      <protection locked="0" hidden="0"/>
    </xf>
    <xf numFmtId="0" fontId="2" fillId="0" borderId="3" applyAlignment="1" applyProtection="1" pivotButton="0" quotePrefix="0" xfId="0">
      <alignment horizontal="center" vertical="center"/>
      <protection locked="0" hidden="0"/>
    </xf>
    <xf numFmtId="0" fontId="2" fillId="0" borderId="4" applyAlignment="1" applyProtection="1" pivotButton="0" quotePrefix="0" xfId="0">
      <alignment horizontal="center" vertical="center"/>
      <protection locked="0" hidden="0"/>
    </xf>
    <xf numFmtId="0" fontId="3" fillId="7" borderId="1" applyAlignment="1" pivotButton="0" quotePrefix="0" xfId="0">
      <alignment horizontal="left" vertical="center" wrapText="1"/>
    </xf>
    <xf numFmtId="0" fontId="3" fillId="7" borderId="1" pivotButton="0" quotePrefix="0" xfId="0"/>
    <xf numFmtId="0" fontId="16" fillId="0" borderId="1" applyAlignment="1" pivotButton="0" quotePrefix="0" xfId="0">
      <alignment horizontal="left" vertical="center"/>
    </xf>
    <xf numFmtId="0" fontId="7" fillId="7" borderId="2" applyAlignment="1" pivotButton="0" quotePrefix="0" xfId="0">
      <alignment horizontal="center" vertical="center" wrapText="1"/>
    </xf>
    <xf numFmtId="0" fontId="7" fillId="7" borderId="4" applyAlignment="1" pivotButton="0" quotePrefix="0" xfId="0">
      <alignment horizontal="center" vertical="center" wrapText="1"/>
    </xf>
    <xf numFmtId="165" fontId="4" fillId="10" borderId="2" applyAlignment="1" pivotButton="0" quotePrefix="0" xfId="0">
      <alignment horizontal="right" vertical="center" wrapText="1"/>
    </xf>
    <xf numFmtId="165" fontId="4" fillId="10" borderId="3" applyAlignment="1" pivotButton="0" quotePrefix="0" xfId="0">
      <alignment horizontal="right" vertical="center" wrapText="1"/>
    </xf>
    <xf numFmtId="165" fontId="4" fillId="10" borderId="4" applyAlignment="1" pivotButton="0" quotePrefix="0" xfId="0">
      <alignment horizontal="right" vertical="center" wrapText="1"/>
    </xf>
    <xf numFmtId="0" fontId="4" fillId="10" borderId="2" applyAlignment="1" pivotButton="0" quotePrefix="0" xfId="0">
      <alignment horizontal="left" vertical="center" wrapText="1"/>
    </xf>
    <xf numFmtId="0" fontId="4" fillId="10" borderId="3" applyAlignment="1" pivotButton="0" quotePrefix="0" xfId="0">
      <alignment horizontal="left" vertical="center" wrapText="1"/>
    </xf>
    <xf numFmtId="0" fontId="4" fillId="10" borderId="4" applyAlignment="1" pivotButton="0" quotePrefix="0" xfId="0">
      <alignment horizontal="left" vertical="center" wrapText="1"/>
    </xf>
    <xf numFmtId="0" fontId="7" fillId="7" borderId="1" applyAlignment="1" pivotButton="0" quotePrefix="0" xfId="0">
      <alignment horizontal="center" vertical="center" wrapText="1"/>
    </xf>
    <xf numFmtId="0" fontId="1" fillId="8" borderId="1" applyAlignment="1" pivotButton="0" quotePrefix="0" xfId="0">
      <alignment horizontal="center" vertical="center" wrapText="1"/>
    </xf>
    <xf numFmtId="0" fontId="2" fillId="0" borderId="2" applyAlignment="1" applyProtection="1" pivotButton="0" quotePrefix="0" xfId="0">
      <alignment horizontal="left" vertical="center"/>
      <protection locked="0" hidden="0"/>
    </xf>
    <xf numFmtId="0" fontId="2" fillId="0" borderId="3" applyAlignment="1" applyProtection="1" pivotButton="0" quotePrefix="0" xfId="0">
      <alignment horizontal="left" vertical="center"/>
      <protection locked="0" hidden="0"/>
    </xf>
    <xf numFmtId="0" fontId="2" fillId="0" borderId="4" applyAlignment="1" applyProtection="1" pivotButton="0" quotePrefix="0" xfId="0">
      <alignment horizontal="left" vertical="center"/>
      <protection locked="0" hidden="0"/>
    </xf>
    <xf numFmtId="0" fontId="1" fillId="2" borderId="1" applyAlignment="1" pivotButton="0" quotePrefix="0" xfId="0">
      <alignment horizontal="left" vertical="center"/>
    </xf>
    <xf numFmtId="0" fontId="2" fillId="0" borderId="1" pivotButton="0" quotePrefix="0" xfId="0"/>
    <xf numFmtId="166" fontId="4" fillId="10" borderId="1" applyAlignment="1" pivotButton="0" quotePrefix="0" xfId="0">
      <alignment horizontal="center" vertical="center" wrapText="1"/>
    </xf>
    <xf numFmtId="0" fontId="4" fillId="10" borderId="1" applyAlignment="1" pivotButton="0" quotePrefix="0" xfId="0">
      <alignment horizontal="left" vertical="center" wrapText="1"/>
    </xf>
    <xf numFmtId="0" fontId="5" fillId="4" borderId="1" applyAlignment="1" applyProtection="1" pivotButton="0" quotePrefix="0" xfId="0">
      <alignment horizontal="left" vertical="center" wrapText="1"/>
      <protection locked="0" hidden="0"/>
    </xf>
    <xf numFmtId="0" fontId="2" fillId="0" borderId="1" applyProtection="1" pivotButton="0" quotePrefix="0" xfId="0">
      <protection locked="0" hidden="0"/>
    </xf>
    <xf numFmtId="0" fontId="4" fillId="4" borderId="1" applyAlignment="1" applyProtection="1" pivotButton="0" quotePrefix="0" xfId="0">
      <alignment horizontal="left" vertical="center" wrapText="1"/>
      <protection locked="0" hidden="0"/>
    </xf>
    <xf numFmtId="0" fontId="1" fillId="6" borderId="1" applyAlignment="1" pivotButton="0" quotePrefix="0" xfId="0">
      <alignment horizontal="left" vertical="center"/>
    </xf>
    <xf numFmtId="0" fontId="2" fillId="6" borderId="1" pivotButton="0" quotePrefix="0" xfId="0"/>
    <xf numFmtId="0" fontId="5" fillId="3" borderId="1" applyAlignment="1" applyProtection="1" pivotButton="0" quotePrefix="0" xfId="0">
      <alignment horizontal="center" vertical="center" wrapText="1"/>
      <protection locked="0" hidden="0"/>
    </xf>
    <xf numFmtId="0" fontId="2" fillId="0" borderId="1" applyAlignment="1" applyProtection="1" pivotButton="0" quotePrefix="0" xfId="0">
      <alignment horizontal="center"/>
      <protection locked="0" hidden="0"/>
    </xf>
    <xf numFmtId="0" fontId="2" fillId="8" borderId="1" applyAlignment="1" pivotButton="0" quotePrefix="0" xfId="0">
      <alignment horizontal="center"/>
    </xf>
    <xf numFmtId="0" fontId="2" fillId="10" borderId="1" pivotButton="0" quotePrefix="0" xfId="0"/>
    <xf numFmtId="0" fontId="1" fillId="8" borderId="2" applyAlignment="1" pivotButton="0" quotePrefix="0" xfId="0">
      <alignment horizontal="center" vertical="center" wrapText="1"/>
    </xf>
    <xf numFmtId="0" fontId="1" fillId="8" borderId="3" applyAlignment="1" pivotButton="0" quotePrefix="0" xfId="0">
      <alignment horizontal="center" vertical="center" wrapText="1"/>
    </xf>
    <xf numFmtId="0" fontId="1" fillId="8" borderId="4" applyAlignment="1" pivotButton="0" quotePrefix="0" xfId="0">
      <alignment horizontal="center" vertical="center" wrapText="1"/>
    </xf>
    <xf numFmtId="0" fontId="5" fillId="0" borderId="2" applyAlignment="1" applyProtection="1" pivotButton="0" quotePrefix="0" xfId="0">
      <alignment horizontal="left" vertical="center" wrapText="1"/>
      <protection locked="0" hidden="0"/>
    </xf>
    <xf numFmtId="0" fontId="5" fillId="0" borderId="3" applyAlignment="1" applyProtection="1" pivotButton="0" quotePrefix="0" xfId="0">
      <alignment horizontal="left" vertical="center" wrapText="1"/>
      <protection locked="0" hidden="0"/>
    </xf>
    <xf numFmtId="0" fontId="5" fillId="0" borderId="4" applyAlignment="1" applyProtection="1" pivotButton="0" quotePrefix="0" xfId="0">
      <alignment horizontal="left" vertical="center" wrapText="1"/>
      <protection locked="0" hidden="0"/>
    </xf>
    <xf numFmtId="165" fontId="4" fillId="10" borderId="1" applyAlignment="1" pivotButton="0" quotePrefix="0" xfId="0">
      <alignment horizontal="center" vertical="center" wrapText="1"/>
    </xf>
    <xf numFmtId="167" fontId="5" fillId="0" borderId="2" applyAlignment="1" applyProtection="1" pivotButton="0" quotePrefix="0" xfId="0">
      <alignment horizontal="left" vertical="center" wrapText="1"/>
      <protection locked="0" hidden="0"/>
    </xf>
    <xf numFmtId="167" fontId="5" fillId="0" borderId="3" applyAlignment="1" applyProtection="1" pivotButton="0" quotePrefix="0" xfId="0">
      <alignment horizontal="left" vertical="center" wrapText="1"/>
      <protection locked="0" hidden="0"/>
    </xf>
    <xf numFmtId="167" fontId="5" fillId="0" borderId="4" applyAlignment="1" applyProtection="1" pivotButton="0" quotePrefix="0" xfId="0">
      <alignment horizontal="left" vertical="center" wrapText="1"/>
      <protection locked="0" hidden="0"/>
    </xf>
    <xf numFmtId="49" fontId="5" fillId="0" borderId="2" applyAlignment="1" applyProtection="1" pivotButton="0" quotePrefix="0" xfId="0">
      <alignment horizontal="left" vertical="center" wrapText="1"/>
      <protection locked="0" hidden="0"/>
    </xf>
    <xf numFmtId="49" fontId="5" fillId="0" borderId="3" applyAlignment="1" applyProtection="1" pivotButton="0" quotePrefix="0" xfId="0">
      <alignment horizontal="left" vertical="center" wrapText="1"/>
      <protection locked="0" hidden="0"/>
    </xf>
    <xf numFmtId="49" fontId="5" fillId="0" borderId="4" applyAlignment="1" applyProtection="1" pivotButton="0" quotePrefix="0" xfId="0">
      <alignment horizontal="left" vertical="center" wrapText="1"/>
      <protection locked="0" hidden="0"/>
    </xf>
    <xf numFmtId="0" fontId="1" fillId="2" borderId="1" applyAlignment="1" pivotButton="0" quotePrefix="0" xfId="0">
      <alignment horizontal="left" vertical="center" wrapText="1"/>
    </xf>
    <xf numFmtId="0" fontId="7" fillId="7" borderId="2" applyAlignment="1" pivotButton="0" quotePrefix="0" xfId="0">
      <alignment horizontal="left" vertical="center" wrapText="1"/>
    </xf>
    <xf numFmtId="0" fontId="7" fillId="7" borderId="3" applyAlignment="1" pivotButton="0" quotePrefix="0" xfId="0">
      <alignment horizontal="left" vertical="center" wrapText="1"/>
    </xf>
    <xf numFmtId="0" fontId="7" fillId="7" borderId="4" applyAlignment="1" pivotButton="0" quotePrefix="0" xfId="0">
      <alignment horizontal="left" vertical="center" wrapText="1"/>
    </xf>
    <xf numFmtId="0" fontId="5" fillId="5" borderId="1" applyAlignment="1" applyProtection="1" pivotButton="0" quotePrefix="0" xfId="0">
      <alignment horizontal="left" vertical="center" wrapText="1"/>
      <protection locked="0" hidden="0"/>
    </xf>
    <xf numFmtId="0" fontId="2" fillId="5" borderId="1" applyAlignment="1" applyProtection="1" pivotButton="0" quotePrefix="0" xfId="0">
      <alignment horizontal="left"/>
      <protection locked="0" hidden="0"/>
    </xf>
    <xf numFmtId="49" fontId="5" fillId="4" borderId="1" applyAlignment="1" pivotButton="0" quotePrefix="0" xfId="0">
      <alignment horizontal="left" vertical="center" wrapText="1"/>
    </xf>
    <xf numFmtId="49" fontId="2" fillId="0" borderId="1" pivotButton="0" quotePrefix="0" xfId="0"/>
    <xf numFmtId="14" fontId="2" fillId="0" borderId="1" applyAlignment="1" pivotButton="0" quotePrefix="0" xfId="0">
      <alignment horizontal="left" vertical="center"/>
    </xf>
    <xf numFmtId="14" fontId="5" fillId="0" borderId="2" applyAlignment="1" applyProtection="1" pivotButton="0" quotePrefix="0" xfId="0">
      <alignment horizontal="left" vertical="center" wrapText="1"/>
      <protection locked="0" hidden="0"/>
    </xf>
    <xf numFmtId="0" fontId="2" fillId="11" borderId="2" applyAlignment="1" applyProtection="1" pivotButton="0" quotePrefix="0" xfId="0">
      <alignment horizontal="center" vertical="center"/>
      <protection locked="0" hidden="0"/>
    </xf>
    <xf numFmtId="0" fontId="2" fillId="11" borderId="3" applyAlignment="1" applyProtection="1" pivotButton="0" quotePrefix="0" xfId="0">
      <alignment horizontal="center" vertical="center"/>
      <protection locked="0" hidden="0"/>
    </xf>
    <xf numFmtId="0" fontId="2" fillId="11" borderId="4" applyAlignment="1" applyProtection="1" pivotButton="0" quotePrefix="0" xfId="0">
      <alignment horizontal="center" vertical="center"/>
      <protection locked="0" hidden="0"/>
    </xf>
    <xf numFmtId="166" fontId="4" fillId="0" borderId="1" applyAlignment="1" applyProtection="1" pivotButton="0" quotePrefix="0" xfId="0">
      <alignment horizontal="right" vertical="center" wrapText="1"/>
      <protection locked="0" hidden="0"/>
    </xf>
    <xf numFmtId="166" fontId="4" fillId="0" borderId="1" applyAlignment="1" applyProtection="1" pivotButton="0" quotePrefix="0" xfId="0">
      <alignment horizontal="center" vertical="center" wrapText="1"/>
      <protection locked="0" hidden="0"/>
    </xf>
    <xf numFmtId="10" fontId="4" fillId="10" borderId="1" applyAlignment="1" pivotButton="0" quotePrefix="0" xfId="1">
      <alignment horizontal="right" vertical="center" wrapText="1"/>
    </xf>
    <xf numFmtId="168" fontId="4" fillId="0" borderId="1" applyAlignment="1" applyProtection="1" pivotButton="0" quotePrefix="0" xfId="0">
      <alignment horizontal="center" vertical="center" wrapText="1"/>
      <protection locked="0" hidden="0"/>
    </xf>
    <xf numFmtId="0" fontId="2" fillId="5" borderId="1" applyAlignment="1" pivotButton="0" quotePrefix="0" xfId="0">
      <alignment horizontal="left"/>
    </xf>
    <xf numFmtId="14" fontId="5" fillId="0" borderId="3" applyAlignment="1" applyProtection="1" pivotButton="0" quotePrefix="0" xfId="0">
      <alignment horizontal="left" vertical="center" wrapText="1"/>
      <protection locked="0" hidden="0"/>
    </xf>
    <xf numFmtId="14" fontId="5" fillId="0" borderId="4" applyAlignment="1" applyProtection="1" pivotButton="0" quotePrefix="0" xfId="0">
      <alignment horizontal="left" vertical="center" wrapText="1"/>
      <protection locked="0" hidden="0"/>
    </xf>
    <xf numFmtId="0" fontId="2" fillId="0" borderId="2" applyAlignment="1" applyProtection="1" pivotButton="0" quotePrefix="0" xfId="0">
      <alignment horizontal="left" vertical="center" wrapText="1"/>
      <protection locked="0" hidden="0"/>
    </xf>
    <xf numFmtId="0" fontId="2" fillId="0" borderId="3" applyAlignment="1" applyProtection="1" pivotButton="0" quotePrefix="0" xfId="0">
      <alignment horizontal="left" vertical="center" wrapText="1"/>
      <protection locked="0" hidden="0"/>
    </xf>
    <xf numFmtId="0" fontId="2" fillId="0" borderId="4" applyAlignment="1" applyProtection="1" pivotButton="0" quotePrefix="0" xfId="0">
      <alignment horizontal="left" vertical="center" wrapText="1"/>
      <protection locked="0" hidden="0"/>
    </xf>
    <xf numFmtId="169" fontId="5" fillId="0" borderId="1" applyAlignment="1" applyProtection="1" pivotButton="0" quotePrefix="0" xfId="0">
      <alignment horizontal="right" vertical="center" wrapText="1"/>
      <protection locked="0" hidden="0"/>
    </xf>
    <xf numFmtId="169" fontId="2" fillId="0" borderId="1" applyAlignment="1" applyProtection="1" pivotButton="0" quotePrefix="0" xfId="0">
      <alignment horizontal="right"/>
      <protection locked="0" hidden="0"/>
    </xf>
    <xf numFmtId="0" fontId="5" fillId="0" borderId="1" applyAlignment="1" applyProtection="1" pivotButton="0" quotePrefix="0" xfId="0">
      <alignment horizontal="left" vertical="center" wrapText="1"/>
      <protection locked="0" hidden="0"/>
    </xf>
    <xf numFmtId="49" fontId="5" fillId="5" borderId="1" applyAlignment="1" applyProtection="1" pivotButton="0" quotePrefix="0" xfId="0">
      <alignment horizontal="left" vertical="center" wrapText="1"/>
      <protection locked="0" hidden="0"/>
    </xf>
    <xf numFmtId="49" fontId="2" fillId="5" borderId="1" applyAlignment="1" applyProtection="1" pivotButton="0" quotePrefix="0" xfId="0">
      <alignment horizontal="left"/>
      <protection locked="0" hidden="0"/>
    </xf>
    <xf numFmtId="170" fontId="5" fillId="5" borderId="1" applyAlignment="1" applyProtection="1" pivotButton="0" quotePrefix="0" xfId="0">
      <alignment horizontal="left" vertical="center" wrapText="1"/>
      <protection locked="0" hidden="0"/>
    </xf>
    <xf numFmtId="170" fontId="2" fillId="5" borderId="1" applyAlignment="1" applyProtection="1" pivotButton="0" quotePrefix="0" xfId="0">
      <alignment horizontal="left"/>
      <protection locked="0" hidden="0"/>
    </xf>
    <xf numFmtId="49" fontId="10" fillId="0" borderId="2" applyAlignment="1" applyProtection="1" pivotButton="0" quotePrefix="0" xfId="2">
      <alignment horizontal="left" vertical="center"/>
      <protection locked="0" hidden="0"/>
    </xf>
    <xf numFmtId="49" fontId="2" fillId="0" borderId="3" applyAlignment="1" applyProtection="1" pivotButton="0" quotePrefix="0" xfId="0">
      <alignment horizontal="left" vertical="center"/>
      <protection locked="0" hidden="0"/>
    </xf>
    <xf numFmtId="49" fontId="2" fillId="0" borderId="4" applyAlignment="1" applyProtection="1" pivotButton="0" quotePrefix="0" xfId="0">
      <alignment horizontal="left" vertical="center"/>
      <protection locked="0" hidden="0"/>
    </xf>
    <xf numFmtId="49" fontId="2" fillId="5" borderId="3" applyAlignment="1" applyProtection="1" pivotButton="0" quotePrefix="0" xfId="2">
      <alignment horizontal="left" vertical="center" wrapText="1"/>
      <protection locked="0" hidden="0"/>
    </xf>
    <xf numFmtId="49" fontId="2" fillId="5" borderId="3" applyAlignment="1" applyProtection="1" pivotButton="0" quotePrefix="0" xfId="0">
      <alignment horizontal="left" vertical="center" wrapText="1"/>
      <protection locked="0" hidden="0"/>
    </xf>
    <xf numFmtId="49" fontId="2" fillId="5" borderId="4" applyAlignment="1" applyProtection="1" pivotButton="0" quotePrefix="0" xfId="0">
      <alignment horizontal="left" vertical="center" wrapText="1"/>
      <protection locked="0" hidden="0"/>
    </xf>
    <xf numFmtId="0" fontId="3" fillId="0" borderId="1" applyAlignment="1" pivotButton="0" quotePrefix="0" xfId="0">
      <alignment horizontal="center"/>
    </xf>
    <xf numFmtId="0" fontId="5" fillId="10" borderId="1" applyAlignment="1" pivotButton="0" quotePrefix="0" xfId="0">
      <alignment horizontal="left" vertical="center" wrapText="1"/>
    </xf>
    <xf numFmtId="0" fontId="2" fillId="10" borderId="2" applyAlignment="1" pivotButton="0" quotePrefix="0" xfId="0">
      <alignment horizontal="left" vertical="center" wrapText="1"/>
    </xf>
    <xf numFmtId="0" fontId="2" fillId="10" borderId="3" applyAlignment="1" pivotButton="0" quotePrefix="0" xfId="0">
      <alignment horizontal="left" vertical="center" wrapText="1"/>
    </xf>
    <xf numFmtId="0" fontId="2" fillId="10" borderId="4" applyAlignment="1" pivotButton="0" quotePrefix="0" xfId="0">
      <alignment horizontal="left" vertical="center" wrapText="1"/>
    </xf>
    <xf numFmtId="169" fontId="2" fillId="0" borderId="2" applyAlignment="1" applyProtection="1" pivotButton="0" quotePrefix="0" xfId="0">
      <alignment horizontal="right" vertical="center"/>
      <protection locked="0" hidden="0"/>
    </xf>
    <xf numFmtId="169" fontId="2" fillId="0" borderId="3" applyAlignment="1" applyProtection="1" pivotButton="0" quotePrefix="0" xfId="0">
      <alignment horizontal="right" vertical="center"/>
      <protection locked="0" hidden="0"/>
    </xf>
    <xf numFmtId="169" fontId="2" fillId="0" borderId="4" applyAlignment="1" applyProtection="1" pivotButton="0" quotePrefix="0" xfId="0">
      <alignment horizontal="right" vertical="center"/>
      <protection locked="0" hidden="0"/>
    </xf>
    <xf numFmtId="169" fontId="2" fillId="10" borderId="2" applyAlignment="1" pivotButton="0" quotePrefix="0" xfId="0">
      <alignment horizontal="right" vertical="center"/>
    </xf>
    <xf numFmtId="169" fontId="2" fillId="10" borderId="3" applyAlignment="1" pivotButton="0" quotePrefix="0" xfId="0">
      <alignment horizontal="right" vertical="center"/>
    </xf>
    <xf numFmtId="169" fontId="2" fillId="10" borderId="4" applyAlignment="1" pivotButton="0" quotePrefix="0" xfId="0">
      <alignment horizontal="right" vertical="center"/>
    </xf>
    <xf numFmtId="0" fontId="2" fillId="10" borderId="3" applyAlignment="1" pivotButton="0" quotePrefix="0" xfId="0">
      <alignment horizontal="right" vertical="center"/>
    </xf>
    <xf numFmtId="0" fontId="2" fillId="10" borderId="4" applyAlignment="1" pivotButton="0" quotePrefix="0" xfId="0">
      <alignment horizontal="right" vertical="center"/>
    </xf>
    <xf numFmtId="0" fontId="2" fillId="0" borderId="2" applyAlignment="1" applyProtection="1" pivotButton="0" quotePrefix="0" xfId="0">
      <alignment horizontal="right"/>
      <protection locked="0" hidden="0"/>
    </xf>
    <xf numFmtId="0" fontId="2" fillId="0" borderId="3" applyAlignment="1" applyProtection="1" pivotButton="0" quotePrefix="0" xfId="0">
      <alignment horizontal="right"/>
      <protection locked="0" hidden="0"/>
    </xf>
    <xf numFmtId="0" fontId="2" fillId="0" borderId="4" applyAlignment="1" applyProtection="1" pivotButton="0" quotePrefix="0" xfId="0">
      <alignment horizontal="right"/>
      <protection locked="0" hidden="0"/>
    </xf>
    <xf numFmtId="171" fontId="2" fillId="0" borderId="2" applyAlignment="1" applyProtection="1" pivotButton="0" quotePrefix="0" xfId="0">
      <alignment horizontal="center"/>
      <protection locked="0" hidden="0"/>
    </xf>
    <xf numFmtId="171" fontId="2" fillId="0" borderId="3" applyAlignment="1" applyProtection="1" pivotButton="0" quotePrefix="0" xfId="0">
      <alignment horizontal="center"/>
      <protection locked="0" hidden="0"/>
    </xf>
    <xf numFmtId="171" fontId="2" fillId="0" borderId="4" applyAlignment="1" applyProtection="1" pivotButton="0" quotePrefix="0" xfId="0">
      <alignment horizontal="center"/>
      <protection locked="0" hidden="0"/>
    </xf>
    <xf numFmtId="166" fontId="4" fillId="10" borderId="2" applyAlignment="1" pivotButton="0" quotePrefix="0" xfId="0">
      <alignment horizontal="right" vertical="center" wrapText="1"/>
    </xf>
    <xf numFmtId="166" fontId="4" fillId="10" borderId="3" applyAlignment="1" pivotButton="0" quotePrefix="0" xfId="0">
      <alignment horizontal="right" vertical="center" wrapText="1"/>
    </xf>
    <xf numFmtId="166" fontId="4" fillId="10" borderId="4" applyAlignment="1" pivotButton="0" quotePrefix="0" xfId="0">
      <alignment horizontal="right" vertical="center" wrapText="1"/>
    </xf>
    <xf numFmtId="169" fontId="2" fillId="10" borderId="2" applyAlignment="1" pivotButton="0" quotePrefix="0" xfId="0">
      <alignment horizontal="left" vertical="center"/>
    </xf>
    <xf numFmtId="0" fontId="2" fillId="10" borderId="3" applyAlignment="1" pivotButton="0" quotePrefix="0" xfId="0">
      <alignment horizontal="left" vertical="center"/>
    </xf>
    <xf numFmtId="0" fontId="2" fillId="10" borderId="4" applyAlignment="1" pivotButton="0" quotePrefix="0" xfId="0">
      <alignment horizontal="left" vertical="center"/>
    </xf>
    <xf numFmtId="0" fontId="11" fillId="0" borderId="5" applyAlignment="1" pivotButton="0" quotePrefix="0" xfId="0">
      <alignment horizontal="left" vertical="center" wrapText="1"/>
    </xf>
    <xf numFmtId="0" fontId="0" fillId="0" borderId="3" pivotButton="0" quotePrefix="0" xfId="0"/>
    <xf numFmtId="0" fontId="0" fillId="0" borderId="4" pivotButton="0" quotePrefix="0" xfId="0"/>
    <xf numFmtId="49" fontId="10" fillId="0" borderId="1" applyAlignment="1" applyProtection="1" pivotButton="0" quotePrefix="0" xfId="2">
      <alignment horizontal="left" vertical="center"/>
      <protection locked="0" hidden="0"/>
    </xf>
    <xf numFmtId="170" fontId="5" fillId="5" borderId="1" applyAlignment="1" applyProtection="1" pivotButton="0" quotePrefix="0" xfId="0">
      <alignment horizontal="left" vertical="center" wrapText="1"/>
      <protection locked="0" hidden="0"/>
    </xf>
    <xf numFmtId="0" fontId="5" fillId="9" borderId="1" applyAlignment="1" applyProtection="1" pivotButton="0" quotePrefix="0" xfId="0">
      <alignment horizontal="left" vertical="center" wrapText="1"/>
      <protection locked="0" hidden="0"/>
    </xf>
    <xf numFmtId="14" fontId="5" fillId="0" borderId="1" applyAlignment="1" applyProtection="1" pivotButton="0" quotePrefix="0" xfId="0">
      <alignment horizontal="left" vertical="center" wrapText="1"/>
      <protection locked="0" hidden="0"/>
    </xf>
    <xf numFmtId="49" fontId="2" fillId="5" borderId="4" applyAlignment="1" applyProtection="1" pivotButton="0" quotePrefix="0" xfId="2">
      <alignment horizontal="left" vertical="center" wrapText="1"/>
      <protection locked="0" hidden="0"/>
    </xf>
    <xf numFmtId="169" fontId="5" fillId="0" borderId="1" applyAlignment="1" applyProtection="1" pivotButton="0" quotePrefix="0" xfId="0">
      <alignment horizontal="right" vertical="center" wrapText="1"/>
      <protection locked="0" hidden="0"/>
    </xf>
    <xf numFmtId="0" fontId="2" fillId="0" borderId="1" applyAlignment="1" applyProtection="1" pivotButton="0" quotePrefix="0" xfId="0">
      <alignment horizontal="left" vertical="center" wrapText="1"/>
      <protection locked="0" hidden="0"/>
    </xf>
    <xf numFmtId="0" fontId="2" fillId="10" borderId="1" applyAlignment="1" pivotButton="0" quotePrefix="0" xfId="0">
      <alignment horizontal="left" vertical="center" wrapText="1"/>
    </xf>
    <xf numFmtId="0" fontId="2" fillId="0" borderId="1" applyAlignment="1" applyProtection="1" pivotButton="0" quotePrefix="0" xfId="0">
      <alignment horizontal="center" vertical="center"/>
      <protection locked="0" hidden="0"/>
    </xf>
    <xf numFmtId="0" fontId="0" fillId="0" borderId="3" applyProtection="1" pivotButton="0" quotePrefix="0" xfId="0">
      <protection locked="0" hidden="0"/>
    </xf>
    <xf numFmtId="0" fontId="0" fillId="0" borderId="4" applyProtection="1" pivotButton="0" quotePrefix="0" xfId="0">
      <protection locked="0" hidden="0"/>
    </xf>
    <xf numFmtId="167" fontId="5" fillId="0" borderId="1" applyAlignment="1" applyProtection="1" pivotButton="0" quotePrefix="0" xfId="0">
      <alignment horizontal="left" vertical="center" wrapText="1"/>
      <protection locked="0" hidden="0"/>
    </xf>
    <xf numFmtId="49" fontId="5" fillId="0" borderId="1" applyAlignment="1" applyProtection="1" pivotButton="0" quotePrefix="0" xfId="0">
      <alignment horizontal="left" vertical="center" wrapText="1"/>
      <protection locked="0" hidden="0"/>
    </xf>
    <xf numFmtId="0" fontId="2" fillId="11" borderId="1" applyAlignment="1" applyProtection="1" pivotButton="0" quotePrefix="0" xfId="0">
      <alignment horizontal="center" vertical="center"/>
      <protection locked="0" hidden="0"/>
    </xf>
    <xf numFmtId="166" fontId="4" fillId="0" borderId="1" applyAlignment="1" applyProtection="1" pivotButton="0" quotePrefix="0" xfId="0">
      <alignment horizontal="center" vertical="center" wrapText="1"/>
      <protection locked="0" hidden="0"/>
    </xf>
    <xf numFmtId="166" fontId="4" fillId="0" borderId="1" applyAlignment="1" applyProtection="1" pivotButton="0" quotePrefix="0" xfId="0">
      <alignment horizontal="right" vertical="center" wrapText="1"/>
      <protection locked="0" hidden="0"/>
    </xf>
    <xf numFmtId="168" fontId="4" fillId="0" borderId="1" applyAlignment="1" applyProtection="1" pivotButton="0" quotePrefix="0" xfId="0">
      <alignment horizontal="center" vertical="center" wrapText="1"/>
      <protection locked="0" hidden="0"/>
    </xf>
    <xf numFmtId="166" fontId="4" fillId="10" borderId="1" applyAlignment="1" pivotButton="0" quotePrefix="0" xfId="0">
      <alignment horizontal="center" vertical="center" wrapText="1"/>
    </xf>
    <xf numFmtId="166" fontId="4" fillId="10" borderId="1" applyAlignment="1" pivotButton="0" quotePrefix="0" xfId="0">
      <alignment horizontal="right" vertical="center" wrapText="1"/>
    </xf>
    <xf numFmtId="165" fontId="4" fillId="10" borderId="1" applyAlignment="1" pivotButton="0" quotePrefix="0" xfId="0">
      <alignment horizontal="center" vertical="center" wrapText="1"/>
    </xf>
    <xf numFmtId="165" fontId="4" fillId="10" borderId="1" applyAlignment="1" pivotButton="0" quotePrefix="0" xfId="0">
      <alignment horizontal="right" vertical="center" wrapText="1"/>
    </xf>
    <xf numFmtId="169" fontId="2" fillId="0" borderId="1" applyAlignment="1" applyProtection="1" pivotButton="0" quotePrefix="0" xfId="0">
      <alignment horizontal="right" vertical="center"/>
      <protection locked="0" hidden="0"/>
    </xf>
    <xf numFmtId="0" fontId="2" fillId="0" borderId="1" applyAlignment="1" applyProtection="1" pivotButton="0" quotePrefix="0" xfId="0">
      <alignment horizontal="left" vertical="center"/>
      <protection locked="0" hidden="0"/>
    </xf>
    <xf numFmtId="169" fontId="2" fillId="10" borderId="1" applyAlignment="1" pivotButton="0" quotePrefix="0" xfId="0">
      <alignment horizontal="right" vertical="center"/>
    </xf>
    <xf numFmtId="169" fontId="2" fillId="10" borderId="1" applyAlignment="1" pivotButton="0" quotePrefix="0" xfId="0">
      <alignment horizontal="left" vertical="center"/>
    </xf>
    <xf numFmtId="0" fontId="2" fillId="0" borderId="1" applyAlignment="1" applyProtection="1" pivotButton="0" quotePrefix="0" xfId="0">
      <alignment horizontal="right"/>
      <protection locked="0" hidden="0"/>
    </xf>
    <xf numFmtId="171" fontId="2" fillId="0" borderId="1" applyAlignment="1" applyProtection="1" pivotButton="0" quotePrefix="0" xfId="0">
      <alignment horizontal="center"/>
      <protection locked="0" hidden="0"/>
    </xf>
    <xf numFmtId="164" fontId="2" fillId="0" borderId="1" applyAlignment="1" pivotButton="0" quotePrefix="0" xfId="0">
      <alignment vertical="center"/>
    </xf>
    <xf numFmtId="0" fontId="0" fillId="0" borderId="5" pivotButton="0" quotePrefix="0" xfId="0"/>
  </cellXfs>
  <cellStyles count="3">
    <cellStyle name="Normal" xfId="0" builtinId="0"/>
    <cellStyle name="Porcentaje" xfId="1" builtinId="5"/>
    <cellStyle name="Hipervínculo" xfId="2" builtinId="8"/>
  </cellStyles>
  <dxfs count="7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/>
      <fill>
        <patternFill>
          <bgColor theme="0" tint="-0.149967955565050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1"/>
        <color rgb="FF9C0006"/>
      </font>
      <fill>
        <patternFill>
          <bgColor rgb="FFFFC7CE"/>
        </patternFill>
      </fill>
    </dxf>
    <dxf>
      <font>
        <b val="1"/>
        <color rgb="FF006100"/>
      </font>
      <fill>
        <patternFill>
          <bgColor rgb="FFC6EFCE"/>
        </patternFill>
      </fill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1</col>
      <colOff>790575</colOff>
      <row>0</row>
      <rowOff>28575</rowOff>
    </from>
    <to>
      <col>1</col>
      <colOff>2295525</colOff>
      <row>0</row>
      <rowOff>460375</rowOff>
    </to>
    <pic>
      <nvPicPr>
        <cNvPr id="2" name="Imagen 1"/>
        <cNvPicPr>
          <a:picLocks xmlns:a="http://schemas.openxmlformats.org/drawingml/2006/main"/>
        </cNvPicPr>
      </nvPicPr>
      <blipFill>
        <a:blip xmlns:a="http://schemas.openxmlformats.org/drawingml/2006/main" xmlns:r="http://schemas.openxmlformats.org/officeDocument/2006/relationships" cstate="print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990600" y="28575"/>
          <a:ext cx="1504950" cy="43180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mailto:cliente@empresa.com" TargetMode="External" Id="rId1"/><Relationship Type="http://schemas.openxmlformats.org/officeDocument/2006/relationships/drawing" Target="/xl/drawings/drawing1.xml" Id="rId2"/></Relationships>
</file>

<file path=xl/worksheets/sheet1.xml><?xml version="1.0" encoding="utf-8"?>
<worksheet xmlns="http://schemas.openxmlformats.org/spreadsheetml/2006/main">
  <sheetPr>
    <tabColor rgb="FF00B050"/>
    <outlinePr summaryBelow="1" summaryRight="1"/>
    <pageSetUpPr/>
  </sheetPr>
  <dimension ref="A1:M94"/>
  <sheetViews>
    <sheetView tabSelected="1" zoomScale="90" zoomScaleNormal="90" workbookViewId="0">
      <selection activeCell="H15" sqref="H15:L15"/>
    </sheetView>
  </sheetViews>
  <sheetFormatPr baseColWidth="10" defaultColWidth="0" defaultRowHeight="15" zeroHeight="1"/>
  <cols>
    <col width="3" customWidth="1" min="1" max="1"/>
    <col width="41.42578125" bestFit="1" customWidth="1" min="2" max="2"/>
    <col width="10" customWidth="1" min="3" max="6"/>
    <col width="32.5703125" customWidth="1" min="7" max="7"/>
    <col width="10" customWidth="1" min="8" max="9"/>
    <col width="14" customWidth="1" min="10" max="12"/>
    <col width="5.7109375" customWidth="1" min="13" max="13"/>
    <col hidden="1" width="9.140625" customWidth="1" min="14" max="16384"/>
  </cols>
  <sheetData>
    <row r="1" ht="41.25" customHeight="1">
      <c r="A1" s="14" t="n"/>
      <c r="B1" s="116" t="n"/>
      <c r="C1" s="142" t="n"/>
      <c r="D1" s="143" t="n"/>
      <c r="E1" s="31" t="inlineStr">
        <is>
          <t>FICHA DE LEVANTAMIENTO DE INFORMACIÓN</t>
        </is>
      </c>
      <c r="F1" s="142" t="n"/>
      <c r="G1" s="142" t="n"/>
      <c r="H1" s="142" t="n"/>
      <c r="I1" s="143" t="n"/>
      <c r="J1" s="31" t="inlineStr">
        <is>
          <t>FLI CT-001</t>
        </is>
      </c>
      <c r="K1" s="143" t="n"/>
      <c r="L1" s="24" t="inlineStr">
        <is>
          <t>Versión: 0</t>
        </is>
      </c>
      <c r="M1" s="14" t="n"/>
    </row>
    <row r="2" ht="33.75" customHeight="1">
      <c r="A2" s="14" t="n"/>
      <c r="B2" s="31" t="inlineStr">
        <is>
          <t>FLI  CT-001 - Crédito Terra: Energía solar fotovoltaica</t>
        </is>
      </c>
      <c r="C2" s="142" t="n"/>
      <c r="D2" s="142" t="n"/>
      <c r="E2" s="142" t="n"/>
      <c r="F2" s="142" t="n"/>
      <c r="G2" s="142" t="n"/>
      <c r="H2" s="142" t="n"/>
      <c r="I2" s="142" t="n"/>
      <c r="J2" s="142" t="n"/>
      <c r="K2" s="142" t="n"/>
      <c r="L2" s="143" t="n"/>
      <c r="M2" s="14" t="n"/>
    </row>
    <row r="3">
      <c r="A3" s="14" t="n"/>
      <c r="B3" s="14" t="n"/>
      <c r="C3" s="14" t="n"/>
      <c r="D3" s="14" t="n"/>
      <c r="E3" s="14" t="n"/>
      <c r="F3" s="14" t="n"/>
      <c r="G3" s="14" t="n"/>
      <c r="H3" s="14" t="n"/>
      <c r="I3" s="14" t="n"/>
      <c r="J3" s="14" t="n"/>
      <c r="K3" s="14" t="n"/>
      <c r="L3" s="14" t="n"/>
      <c r="M3" s="14" t="n"/>
    </row>
    <row r="4">
      <c r="A4" s="14" t="n"/>
      <c r="B4" s="26" t="inlineStr">
        <is>
          <t>Instrucciones de uso de la ficha:</t>
        </is>
      </c>
      <c r="C4" s="14" t="n"/>
      <c r="D4" s="14" t="n"/>
      <c r="E4" s="14" t="n"/>
      <c r="F4" s="14" t="n"/>
      <c r="G4" s="14" t="n"/>
      <c r="H4" s="14" t="n"/>
      <c r="I4" s="14" t="n"/>
      <c r="J4" s="14" t="n"/>
      <c r="K4" s="14" t="n"/>
      <c r="L4" s="14" t="n"/>
      <c r="M4" s="14" t="n"/>
    </row>
    <row r="5">
      <c r="A5" s="14" t="n"/>
      <c r="B5" s="14" t="n"/>
      <c r="C5" s="14" t="n"/>
      <c r="D5" s="14" t="n"/>
      <c r="E5" s="14" t="n"/>
      <c r="F5" s="14" t="n"/>
      <c r="G5" s="14" t="n"/>
      <c r="H5" s="14" t="n"/>
      <c r="I5" s="14" t="n"/>
      <c r="J5" s="14" t="n"/>
      <c r="K5" s="14" t="n"/>
      <c r="L5" s="14" t="n"/>
      <c r="M5" s="14" t="n"/>
    </row>
    <row r="6">
      <c r="A6" s="14" t="n"/>
      <c r="B6" s="25" t="inlineStr">
        <is>
          <t>Llenar acorde al siguiente código de colores:</t>
        </is>
      </c>
      <c r="C6" s="14" t="n"/>
      <c r="D6" s="14" t="n"/>
      <c r="E6" s="14" t="n"/>
      <c r="F6" s="14" t="n"/>
      <c r="G6" s="14" t="n"/>
      <c r="H6" s="14" t="n"/>
      <c r="I6" s="14" t="n"/>
      <c r="J6" s="14" t="n"/>
      <c r="K6" s="14" t="n"/>
      <c r="L6" s="14" t="n"/>
      <c r="M6" s="14" t="n"/>
    </row>
    <row r="7">
      <c r="A7" s="14" t="n"/>
      <c r="B7" s="14" t="n"/>
      <c r="C7" s="14" t="n"/>
      <c r="D7" s="14" t="n"/>
      <c r="E7" s="14" t="n"/>
      <c r="F7" s="14" t="n"/>
      <c r="G7" s="14" t="n"/>
      <c r="H7" s="14" t="n"/>
      <c r="I7" s="14" t="n"/>
      <c r="J7" s="14" t="n"/>
      <c r="K7" s="14" t="n"/>
      <c r="L7" s="14" t="n"/>
      <c r="M7" s="14" t="n"/>
    </row>
    <row r="8">
      <c r="A8" s="14" t="n"/>
      <c r="B8" s="15" t="n"/>
      <c r="C8" s="97" t="inlineStr">
        <is>
          <t>Completar con la información correspondiente.</t>
        </is>
      </c>
      <c r="D8" s="142" t="n"/>
      <c r="E8" s="142" t="n"/>
      <c r="F8" s="142" t="n"/>
      <c r="G8" s="143" t="n"/>
      <c r="H8" s="14" t="n"/>
      <c r="I8" s="14" t="n"/>
      <c r="J8" s="14" t="n"/>
      <c r="K8" s="14" t="n"/>
      <c r="L8" s="14" t="n"/>
      <c r="M8" s="14" t="n"/>
    </row>
    <row r="9">
      <c r="A9" s="14" t="n"/>
      <c r="B9" s="16" t="n"/>
      <c r="C9" s="97" t="inlineStr">
        <is>
          <t>Seleccionar de la lista desplegable.</t>
        </is>
      </c>
      <c r="D9" s="142" t="n"/>
      <c r="E9" s="142" t="n"/>
      <c r="F9" s="142" t="n"/>
      <c r="G9" s="143" t="n"/>
      <c r="H9" s="14" t="n"/>
      <c r="I9" s="14" t="n"/>
      <c r="J9" s="14" t="n"/>
      <c r="K9" s="14" t="n"/>
      <c r="L9" s="14" t="n"/>
      <c r="M9" s="14" t="n"/>
    </row>
    <row r="10">
      <c r="A10" s="14" t="n"/>
      <c r="B10" s="66" t="n"/>
      <c r="C10" s="97" t="inlineStr">
        <is>
          <t>Cálculo o dato automático (no se requiere acción).</t>
        </is>
      </c>
      <c r="D10" s="142" t="n"/>
      <c r="E10" s="142" t="n"/>
      <c r="F10" s="142" t="n"/>
      <c r="G10" s="143" t="n"/>
      <c r="H10" s="14" t="n"/>
      <c r="I10" s="14" t="n"/>
      <c r="J10" s="14" t="n"/>
      <c r="K10" s="14" t="n"/>
      <c r="L10" s="14" t="n"/>
      <c r="M10" s="14" t="n"/>
    </row>
    <row r="11">
      <c r="A11" s="14" t="n"/>
      <c r="B11" s="14" t="n"/>
      <c r="C11" s="14" t="n"/>
      <c r="D11" s="14" t="n"/>
      <c r="E11" s="14" t="n"/>
      <c r="F11" s="14" t="n"/>
      <c r="G11" s="14" t="n"/>
      <c r="H11" s="14" t="n"/>
      <c r="I11" s="14" t="n"/>
      <c r="J11" s="14" t="n"/>
      <c r="K11" s="14" t="n"/>
      <c r="L11" s="14" t="n"/>
      <c r="M11" s="14" t="n"/>
    </row>
    <row r="12" ht="24.95" customHeight="1">
      <c r="A12" s="14" t="n"/>
      <c r="B12" s="61" t="inlineStr">
        <is>
          <t>0. INFORMACIÓN DEL CLIENTE Y LA GESTIÓN</t>
        </is>
      </c>
      <c r="C12" s="142" t="n"/>
      <c r="D12" s="142" t="n"/>
      <c r="E12" s="142" t="n"/>
      <c r="F12" s="142" t="n"/>
      <c r="G12" s="142" t="n"/>
      <c r="H12" s="142" t="n"/>
      <c r="I12" s="142" t="n"/>
      <c r="J12" s="142" t="n"/>
      <c r="K12" s="142" t="n"/>
      <c r="L12" s="143" t="n"/>
      <c r="M12" s="14" t="n"/>
    </row>
    <row r="13" ht="30" customHeight="1">
      <c r="A13" s="14" t="n"/>
      <c r="B13" s="2" t="inlineStr">
        <is>
          <t>Razón social</t>
        </is>
      </c>
      <c r="C13" s="106" t="inlineStr">
        <is>
          <t>Empresa Cacao 103 S.A.</t>
        </is>
      </c>
      <c r="G13" s="5" t="inlineStr">
        <is>
          <t>Correo de contacto del cliente</t>
        </is>
      </c>
      <c r="H13" s="144" t="inlineStr">
        <is>
          <t>rep103@empresa.com</t>
        </is>
      </c>
      <c r="M13" s="14" t="n"/>
    </row>
    <row r="14" ht="30" customHeight="1">
      <c r="A14" s="14" t="n"/>
      <c r="B14" s="2" t="inlineStr">
        <is>
          <t>RUC / Cédula</t>
        </is>
      </c>
      <c r="C14" s="145" t="inlineStr">
        <is>
          <t>1892327460001</t>
        </is>
      </c>
      <c r="G14" s="83" t="inlineStr">
        <is>
          <t>Segmento del cliente
(seleccionar en la lista)</t>
        </is>
      </c>
      <c r="H14" s="146" t="inlineStr">
        <is>
          <t>PYME</t>
        </is>
      </c>
      <c r="M14" s="14" t="n"/>
    </row>
    <row r="15" ht="30" customHeight="1">
      <c r="A15" s="14" t="n"/>
      <c r="B15" s="2" t="inlineStr">
        <is>
          <t>Actividad principal</t>
        </is>
      </c>
      <c r="C15" s="106" t="inlineStr">
        <is>
          <t>Produccion cacao</t>
        </is>
      </c>
      <c r="G15" s="83" t="inlineStr">
        <is>
          <t>Canal de gestión
(seleccionar en la lista)</t>
        </is>
      </c>
      <c r="H15" s="146" t="inlineStr">
        <is>
          <t>Llamada/reunión virtual</t>
        </is>
      </c>
      <c r="M15" s="14" t="n"/>
    </row>
    <row r="16" ht="30" customHeight="1">
      <c r="A16" s="14" t="n"/>
      <c r="B16" s="2" t="inlineStr">
        <is>
          <t>Actividad que requiere financiamiento</t>
        </is>
      </c>
      <c r="C16" s="106" t="inlineStr">
        <is>
          <t>Instalacion sistema solar fotovoltaico 414.0 kWp</t>
        </is>
      </c>
      <c r="G16" s="83" t="inlineStr">
        <is>
          <t>Fecha de gestión
(dd/mm/aaaa)</t>
        </is>
      </c>
      <c r="H16" s="147" t="inlineStr">
        <is>
          <t>14/05/2026</t>
        </is>
      </c>
      <c r="M16" s="14" t="n"/>
    </row>
    <row r="17" ht="30" customHeight="1">
      <c r="A17" s="14" t="n"/>
      <c r="B17" s="2" t="inlineStr">
        <is>
          <t>Sector BG
(seleccionar en la lista)</t>
        </is>
      </c>
      <c r="C17" s="146" t="inlineStr">
        <is>
          <t>CACAO</t>
        </is>
      </c>
      <c r="G17" s="83" t="inlineStr">
        <is>
          <t>Responsable del levantamiento de ficha</t>
        </is>
      </c>
      <c r="H17" s="106" t="inlineStr">
        <is>
          <t>Luis Paredes</t>
        </is>
      </c>
      <c r="M17" s="14" t="n"/>
    </row>
    <row r="18" ht="30" customHeight="1">
      <c r="A18" s="14" t="n"/>
      <c r="B18" s="2" t="inlineStr">
        <is>
          <t>Nombre de contacto del cliente</t>
        </is>
      </c>
      <c r="C18" s="148" t="inlineStr">
        <is>
          <t>Ing. Representante 103</t>
        </is>
      </c>
      <c r="G18" s="2" t="inlineStr">
        <is>
          <t>CIIU 6 de la actividad principal</t>
        </is>
      </c>
      <c r="H18" s="105" t="inlineStr">
        <is>
          <t>1425</t>
        </is>
      </c>
      <c r="M18" s="14" t="n"/>
    </row>
    <row r="19" ht="15.95" customHeight="1">
      <c r="A19" s="14" t="n"/>
      <c r="B19" s="1" t="n"/>
      <c r="C19" s="1" t="n"/>
      <c r="D19" s="1" t="n"/>
      <c r="E19" s="1" t="n"/>
      <c r="F19" s="1" t="n"/>
      <c r="H19" s="1" t="n"/>
      <c r="I19" s="1" t="n"/>
      <c r="J19" s="1" t="n"/>
      <c r="K19" s="1" t="n"/>
      <c r="L19" s="1" t="n"/>
      <c r="M19" s="14" t="n"/>
    </row>
    <row r="20" ht="24.95" customHeight="1">
      <c r="A20" s="14" t="n"/>
      <c r="B20" s="61" t="inlineStr">
        <is>
          <t>1. INFORMACIÓN DEL CRÉDITO</t>
        </is>
      </c>
      <c r="C20" s="142" t="n"/>
      <c r="D20" s="142" t="n"/>
      <c r="E20" s="142" t="n"/>
      <c r="F20" s="142" t="n"/>
      <c r="G20" s="142" t="n"/>
      <c r="H20" s="142" t="n"/>
      <c r="I20" s="142" t="n"/>
      <c r="J20" s="142" t="n"/>
      <c r="K20" s="142" t="n"/>
      <c r="L20" s="143" t="n"/>
      <c r="M20" s="14" t="n"/>
    </row>
    <row r="21" ht="30" customHeight="1">
      <c r="A21" s="14" t="n"/>
      <c r="B21" s="2" t="inlineStr">
        <is>
          <t>No. Operación</t>
        </is>
      </c>
      <c r="C21" s="64" t="inlineStr">
        <is>
          <t>OP-211484</t>
        </is>
      </c>
      <c r="G21" s="2" t="inlineStr">
        <is>
          <t>Monto del crédito solicitado al Banco (US$)</t>
        </is>
      </c>
      <c r="H21" s="149" t="n">
        <v>320596.89</v>
      </c>
      <c r="M21" s="14" t="n"/>
    </row>
    <row r="22" ht="30" customHeight="1">
      <c r="A22" s="14" t="n"/>
      <c r="B22" s="2" t="inlineStr">
        <is>
          <t>Asesor comercial</t>
        </is>
      </c>
      <c r="C22" s="150" t="inlineStr">
        <is>
          <t>Pedro Álvarez</t>
        </is>
      </c>
      <c r="G22" s="2" t="inlineStr">
        <is>
          <t>Destino del crédito resumido</t>
        </is>
      </c>
      <c r="H22" s="105" t="inlineStr">
        <is>
          <t>Sistema fotovoltaico Autónomo (SFA)</t>
        </is>
      </c>
      <c r="M22" s="14" t="n"/>
    </row>
    <row r="23" ht="30" customHeight="1">
      <c r="A23" s="14" t="n"/>
      <c r="B23" s="2" t="inlineStr">
        <is>
          <t>Destino aplicable Crédito Terra</t>
        </is>
      </c>
      <c r="C23" s="151" t="inlineStr">
        <is>
          <t>Energia Renovable</t>
        </is>
      </c>
      <c r="G23" s="2" t="inlineStr">
        <is>
          <t>Código Crédito Terra</t>
        </is>
      </c>
      <c r="H23" s="117" t="inlineStr">
        <is>
          <t>04 ER. 1</t>
        </is>
      </c>
      <c r="M23" s="14" t="n"/>
    </row>
    <row r="24" ht="15.95" customHeight="1">
      <c r="A24" s="14" t="n"/>
      <c r="B24" s="14" t="n"/>
      <c r="C24" s="14" t="n"/>
      <c r="D24" s="14" t="n"/>
      <c r="E24" s="14" t="n"/>
      <c r="F24" s="14" t="n"/>
      <c r="G24" s="14" t="n"/>
      <c r="H24" s="14" t="n"/>
      <c r="I24" s="14" t="n"/>
      <c r="J24" s="14" t="n"/>
      <c r="K24" s="14" t="n"/>
      <c r="L24" s="14" t="n"/>
      <c r="M24" s="14" t="n"/>
    </row>
    <row r="25" ht="24.95" customHeight="1">
      <c r="A25" s="14" t="n"/>
      <c r="B25" s="61" t="inlineStr">
        <is>
          <t>2. DATOS GENERALES DEL PROYECTO</t>
        </is>
      </c>
      <c r="C25" s="142" t="n"/>
      <c r="D25" s="142" t="n"/>
      <c r="E25" s="142" t="n"/>
      <c r="F25" s="142" t="n"/>
      <c r="G25" s="142" t="n"/>
      <c r="H25" s="142" t="n"/>
      <c r="I25" s="142" t="n"/>
      <c r="J25" s="142" t="n"/>
      <c r="K25" s="142" t="n"/>
      <c r="L25" s="143" t="n"/>
      <c r="M25" s="14" t="n"/>
    </row>
    <row r="26" ht="15.95" customHeight="1">
      <c r="A26" s="14" t="n"/>
      <c r="B26" s="50" t="inlineStr">
        <is>
          <t>Campo</t>
        </is>
      </c>
      <c r="C26" s="50" t="inlineStr">
        <is>
          <t>Respuesta</t>
        </is>
      </c>
      <c r="D26" s="142" t="n"/>
      <c r="E26" s="142" t="n"/>
      <c r="F26" s="142" t="n"/>
      <c r="G26" s="143" t="n"/>
      <c r="H26" s="50" t="inlineStr">
        <is>
          <t>Observaciones</t>
        </is>
      </c>
      <c r="I26" s="142" t="n"/>
      <c r="J26" s="142" t="n"/>
      <c r="K26" s="142" t="n"/>
      <c r="L26" s="143" t="n"/>
      <c r="M26" s="14" t="n"/>
    </row>
    <row r="27" ht="50.1" customHeight="1">
      <c r="A27" s="14" t="n"/>
      <c r="B27" s="2" t="inlineStr">
        <is>
          <t>Dirección del proyecto
(calles, parroquia, cantón y provincia)</t>
        </is>
      </c>
      <c r="C27" s="105" t="inlineStr">
        <is>
          <t>Km 1 via Milagro, Guayas</t>
        </is>
      </c>
      <c r="H27" s="152" t="n"/>
      <c r="I27" s="153" t="n"/>
      <c r="J27" s="153" t="n"/>
      <c r="K27" s="153" t="n"/>
      <c r="L27" s="154" t="n"/>
      <c r="M27" s="14" t="n"/>
    </row>
    <row r="28" ht="50.1" customHeight="1">
      <c r="A28" s="14" t="n"/>
      <c r="B28" s="2" t="inlineStr">
        <is>
          <t>Coordenada referencial del proyecto  - EJE X
(UTM WGS 84 17 S)</t>
        </is>
      </c>
      <c r="C28" s="155" t="n">
        <v>547695.76</v>
      </c>
      <c r="H28" s="152" t="n"/>
      <c r="I28" s="153" t="n"/>
      <c r="J28" s="153" t="n"/>
      <c r="K28" s="153" t="n"/>
      <c r="L28" s="154" t="n"/>
      <c r="M28" s="14" t="n"/>
    </row>
    <row r="29" ht="50.1" customHeight="1">
      <c r="A29" s="14" t="n"/>
      <c r="B29" s="2" t="inlineStr">
        <is>
          <t>Coordenada referencial del proyecto - EJE Y
(UTM WGS 84 17 S)</t>
        </is>
      </c>
      <c r="C29" s="155" t="n">
        <v>9851066.01</v>
      </c>
      <c r="H29" s="152" t="n"/>
      <c r="I29" s="153" t="n"/>
      <c r="J29" s="153" t="n"/>
      <c r="K29" s="153" t="n"/>
      <c r="L29" s="154" t="n"/>
      <c r="M29" s="14" t="n"/>
    </row>
    <row r="30" ht="50.1" customHeight="1">
      <c r="A30" s="14" t="n"/>
      <c r="B30" s="2" t="inlineStr">
        <is>
          <t>Descripción ampliada del proyecto</t>
        </is>
      </c>
      <c r="C30" s="156" t="inlineStr">
        <is>
          <t>Instalacion de sistema Autónomo (SFA) de 414.0 kWp para autoconsumo en operaciones de cacao. Cobertura estimada: 50.3% del consumo total anual.</t>
        </is>
      </c>
      <c r="H30" s="152" t="n"/>
      <c r="I30" s="153" t="n"/>
      <c r="J30" s="153" t="n"/>
      <c r="K30" s="153" t="n"/>
      <c r="L30" s="154" t="n"/>
      <c r="M30" s="14" t="n"/>
    </row>
    <row r="31" ht="50.1" customHeight="1">
      <c r="A31" s="14" t="n"/>
      <c r="B31" s="2" t="inlineStr">
        <is>
          <t>Etapa
(seleccionar en la lista)</t>
        </is>
      </c>
      <c r="C31" s="146" t="inlineStr">
        <is>
          <t>Prefactibilidad</t>
        </is>
      </c>
      <c r="H31" s="152" t="n"/>
      <c r="I31" s="153" t="n"/>
      <c r="J31" s="153" t="n"/>
      <c r="K31" s="153" t="n"/>
      <c r="L31" s="154" t="n"/>
      <c r="M31" s="14" t="n"/>
    </row>
    <row r="32" ht="50.1" customHeight="1">
      <c r="A32" s="14" t="n"/>
      <c r="B32" s="2" t="inlineStr">
        <is>
          <t>Fecha estimada de puesta en marcha
(solo si aplica)</t>
        </is>
      </c>
      <c r="C32" s="147" t="inlineStr">
        <is>
          <t>19/12/2026</t>
        </is>
      </c>
      <c r="H32" s="152" t="n"/>
      <c r="I32" s="153" t="n"/>
      <c r="J32" s="153" t="n"/>
      <c r="K32" s="153" t="n"/>
      <c r="L32" s="154" t="n"/>
      <c r="M32" s="14" t="n"/>
    </row>
    <row r="33" ht="50.1" customHeight="1">
      <c r="A33" s="14" t="n"/>
      <c r="B33" s="2" t="inlineStr">
        <is>
          <t>Tipo de sistema fotovoltaico
(seleccionar en la lista)</t>
        </is>
      </c>
      <c r="C33" s="146" t="inlineStr">
        <is>
          <t>Autónomo (SFA)</t>
        </is>
      </c>
      <c r="H33" s="157" t="n"/>
      <c r="I33" s="153" t="n"/>
      <c r="J33" s="153" t="n"/>
      <c r="K33" s="153" t="n"/>
      <c r="L33" s="154" t="n"/>
      <c r="M33" s="14" t="n"/>
    </row>
    <row r="34" ht="50.1" customHeight="1">
      <c r="A34" s="14" t="n"/>
      <c r="B34" s="2" t="inlineStr">
        <is>
          <t>Propietario del sistema
(seleccionar en la lista)</t>
        </is>
      </c>
      <c r="C34" s="146" t="inlineStr">
        <is>
          <t>Tercero</t>
        </is>
      </c>
      <c r="H34" s="152" t="n"/>
      <c r="I34" s="153" t="n"/>
      <c r="J34" s="153" t="n"/>
      <c r="K34" s="153" t="n"/>
      <c r="L34" s="154" t="n"/>
      <c r="M34" s="14" t="n"/>
    </row>
    <row r="35" ht="15.95" customHeight="1">
      <c r="A35" s="14" t="n"/>
      <c r="B35" s="14" t="n"/>
      <c r="C35" s="14" t="n"/>
      <c r="D35" s="14" t="n"/>
      <c r="E35" s="14" t="n"/>
      <c r="F35" s="14" t="n"/>
      <c r="G35" s="14" t="n"/>
      <c r="H35" s="14" t="n"/>
      <c r="I35" s="14" t="n"/>
      <c r="J35" s="14" t="n"/>
      <c r="K35" s="14" t="n"/>
      <c r="L35" s="14" t="n"/>
      <c r="M35" s="14" t="n"/>
    </row>
    <row r="36" ht="24.95" customHeight="1">
      <c r="A36" s="14" t="n"/>
      <c r="B36" s="54" t="inlineStr">
        <is>
          <t>3. PARÁMETROS TÉCNICOS CLAVE</t>
        </is>
      </c>
      <c r="C36" s="142" t="n"/>
      <c r="D36" s="142" t="n"/>
      <c r="E36" s="142" t="n"/>
      <c r="F36" s="142" t="n"/>
      <c r="G36" s="142" t="n"/>
      <c r="H36" s="142" t="n"/>
      <c r="I36" s="142" t="n"/>
      <c r="J36" s="142" t="n"/>
      <c r="K36" s="142" t="n"/>
      <c r="L36" s="143" t="n"/>
      <c r="M36" s="14" t="n"/>
    </row>
    <row r="37" ht="15.95" customHeight="1">
      <c r="A37" s="14" t="n"/>
      <c r="B37" s="50" t="inlineStr">
        <is>
          <t>Parámetro</t>
        </is>
      </c>
      <c r="C37" s="50" t="inlineStr">
        <is>
          <t>Unidad</t>
        </is>
      </c>
      <c r="D37" s="143" t="n"/>
      <c r="E37" s="50" t="inlineStr">
        <is>
          <t>Valor</t>
        </is>
      </c>
      <c r="F37" s="142" t="n"/>
      <c r="G37" s="143" t="n"/>
      <c r="H37" s="50" t="inlineStr">
        <is>
          <t>Fuente o referencia</t>
        </is>
      </c>
      <c r="I37" s="142" t="n"/>
      <c r="J37" s="142" t="n"/>
      <c r="K37" s="142" t="n"/>
      <c r="L37" s="143" t="n"/>
      <c r="M37" s="14" t="n"/>
    </row>
    <row r="38" ht="30" customHeight="1">
      <c r="A38" s="14" t="n"/>
      <c r="B38" s="2" t="inlineStr">
        <is>
          <t>Cantidad de energía renovable producida por año</t>
        </is>
      </c>
      <c r="C38" s="49" t="inlineStr">
        <is>
          <t>MWh/año</t>
        </is>
      </c>
      <c r="D38" s="143" t="n"/>
      <c r="E38" s="158" t="n">
        <v>498.2</v>
      </c>
      <c r="H38" s="60" t="n"/>
      <c r="I38" s="153" t="n"/>
      <c r="J38" s="153" t="n"/>
      <c r="K38" s="153" t="n"/>
      <c r="L38" s="154" t="n"/>
      <c r="M38" s="14" t="n"/>
    </row>
    <row r="39" ht="30" customHeight="1">
      <c r="A39" s="14" t="n"/>
      <c r="B39" s="2" t="inlineStr">
        <is>
          <t>Capacidad instalada del sistema</t>
        </is>
      </c>
      <c r="C39" s="49" t="inlineStr">
        <is>
          <t>MWp</t>
        </is>
      </c>
      <c r="D39" s="143" t="n"/>
      <c r="E39" s="159" t="n">
        <v>0.414</v>
      </c>
      <c r="H39" s="60" t="n"/>
      <c r="I39" s="153" t="n"/>
      <c r="J39" s="153" t="n"/>
      <c r="K39" s="153" t="n"/>
      <c r="L39" s="154" t="n"/>
      <c r="M39" s="14" t="n"/>
    </row>
    <row r="40" ht="30" customHeight="1">
      <c r="A40" s="14" t="n"/>
      <c r="B40" s="2" t="inlineStr">
        <is>
          <t>Consumo eléctrico total anual del cliente</t>
        </is>
      </c>
      <c r="C40" s="49" t="inlineStr">
        <is>
          <t>MWh/año</t>
        </is>
      </c>
      <c r="D40" s="143" t="n"/>
      <c r="E40" s="158" t="n">
        <v>990.39</v>
      </c>
      <c r="H40" s="60" t="n"/>
      <c r="I40" s="153" t="n"/>
      <c r="J40" s="153" t="n"/>
      <c r="K40" s="153" t="n"/>
      <c r="L40" s="154" t="n"/>
      <c r="M40" s="14" t="n"/>
    </row>
    <row r="41" ht="30" customHeight="1">
      <c r="A41" s="14" t="n"/>
      <c r="B41" s="2" t="inlineStr">
        <is>
          <t>% Cobertura energética</t>
        </is>
      </c>
      <c r="C41" s="49" t="inlineStr">
        <is>
          <t>%</t>
        </is>
      </c>
      <c r="D41" s="143" t="n"/>
      <c r="E41" s="95" t="n">
        <v>50.3</v>
      </c>
      <c r="H41" s="57" t="inlineStr">
        <is>
          <t>Cálculo: Cantidad de energía producida por año / Consumo eléctrico total anual del cliente</t>
        </is>
      </c>
      <c r="I41" s="142" t="n"/>
      <c r="J41" s="142" t="n"/>
      <c r="K41" s="142" t="n"/>
      <c r="L41" s="143" t="n"/>
      <c r="M41" s="14" t="n"/>
    </row>
    <row r="42" ht="30" customHeight="1">
      <c r="A42" s="14" t="n"/>
      <c r="B42" s="2" t="inlineStr">
        <is>
          <t>Vida útil estimada del sistema</t>
        </is>
      </c>
      <c r="C42" s="49" t="inlineStr">
        <is>
          <t>años</t>
        </is>
      </c>
      <c r="D42" s="143" t="n"/>
      <c r="E42" s="160" t="n">
        <v>25</v>
      </c>
      <c r="H42" s="60" t="n"/>
      <c r="I42" s="153" t="n"/>
      <c r="J42" s="153" t="n"/>
      <c r="K42" s="153" t="n"/>
      <c r="L42" s="154" t="n"/>
      <c r="M42" s="14" t="n"/>
    </row>
    <row r="43" ht="15.95" customHeight="1">
      <c r="A43" s="14" t="n"/>
      <c r="B43" s="14" t="n"/>
      <c r="C43" s="14" t="n"/>
      <c r="D43" s="14" t="n"/>
      <c r="E43" s="14" t="n"/>
      <c r="F43" s="14" t="n"/>
      <c r="G43" s="14" t="n"/>
      <c r="H43" s="14" t="n"/>
      <c r="I43" s="14" t="n"/>
      <c r="J43" s="14" t="n"/>
      <c r="K43" s="14" t="n"/>
      <c r="L43" s="14" t="n"/>
      <c r="M43" s="14" t="n"/>
    </row>
    <row r="44" ht="24.95" customHeight="1">
      <c r="A44" s="14" t="n"/>
      <c r="B44" s="54" t="inlineStr">
        <is>
          <t>4. INDICADORES AMBIENTALES - CRÉDITO TERRA</t>
        </is>
      </c>
      <c r="C44" s="142" t="n"/>
      <c r="D44" s="142" t="n"/>
      <c r="E44" s="142" t="n"/>
      <c r="F44" s="142" t="n"/>
      <c r="G44" s="142" t="n"/>
      <c r="H44" s="142" t="n"/>
      <c r="I44" s="142" t="n"/>
      <c r="J44" s="142" t="n"/>
      <c r="K44" s="142" t="n"/>
      <c r="L44" s="143" t="n"/>
      <c r="M44" s="14" t="n"/>
    </row>
    <row r="45" ht="15.95" customHeight="1">
      <c r="A45" s="14" t="n"/>
      <c r="B45" s="50" t="inlineStr">
        <is>
          <t>Indicador</t>
        </is>
      </c>
      <c r="C45" s="50" t="inlineStr">
        <is>
          <t>Unidad</t>
        </is>
      </c>
      <c r="D45" s="143" t="n"/>
      <c r="E45" s="50" t="inlineStr">
        <is>
          <t>Valor</t>
        </is>
      </c>
      <c r="F45" s="142" t="n"/>
      <c r="G45" s="143" t="n"/>
      <c r="H45" s="50" t="inlineStr">
        <is>
          <t>Fuente o referencia</t>
        </is>
      </c>
      <c r="I45" s="142" t="n"/>
      <c r="J45" s="142" t="n"/>
      <c r="K45" s="142" t="n"/>
      <c r="L45" s="143" t="n"/>
      <c r="M45" s="14" t="n"/>
    </row>
    <row r="46" ht="30" customHeight="1">
      <c r="A46" s="14" t="n"/>
      <c r="B46" s="10" t="inlineStr">
        <is>
          <t>Cantidad de energía renovable producida por año</t>
        </is>
      </c>
      <c r="C46" s="49" t="inlineStr">
        <is>
          <t>MWh/año</t>
        </is>
      </c>
      <c r="D46" s="143" t="n"/>
      <c r="E46" s="161" t="n">
        <v>498.2</v>
      </c>
      <c r="H46" s="57">
        <f>H38</f>
        <v/>
      </c>
      <c r="I46" s="142" t="n"/>
      <c r="J46" s="142" t="n"/>
      <c r="K46" s="142" t="n"/>
      <c r="L46" s="143" t="n"/>
      <c r="M46" s="14" t="n"/>
    </row>
    <row r="47" ht="48.75" customHeight="1">
      <c r="A47" s="14" t="n"/>
      <c r="B47" s="10" t="inlineStr">
        <is>
          <t>Cantidad de combustible ahorrado por año
(seleccionar unidad en la lista desplegable)</t>
        </is>
      </c>
      <c r="C47" s="49" t="inlineStr">
        <is>
          <t>gal/año</t>
        </is>
      </c>
      <c r="D47" s="143" t="n"/>
      <c r="E47" s="162" t="inlineStr">
        <is>
          <t>NA</t>
        </is>
      </c>
      <c r="F47" s="142" t="n"/>
      <c r="G47" s="143" t="n"/>
      <c r="H47" s="57" t="inlineStr">
        <is>
          <t>No aplica</t>
        </is>
      </c>
      <c r="I47" s="142" t="n"/>
      <c r="J47" s="142" t="n"/>
      <c r="K47" s="142" t="n"/>
      <c r="L47" s="143" t="n"/>
      <c r="M47" s="14" t="n"/>
    </row>
    <row r="48" ht="30" customHeight="1">
      <c r="A48" s="14" t="n"/>
      <c r="B48" s="10" t="inlineStr">
        <is>
          <t>Capacidad instalada (construida o rehabilitada)</t>
        </is>
      </c>
      <c r="C48" s="49" t="inlineStr">
        <is>
          <t>kWp</t>
        </is>
      </c>
      <c r="D48" s="143" t="n"/>
      <c r="E48" s="162" t="n">
        <v>414</v>
      </c>
      <c r="H48" s="57">
        <f>H39</f>
        <v/>
      </c>
      <c r="I48" s="142" t="n"/>
      <c r="J48" s="142" t="n"/>
      <c r="K48" s="142" t="n"/>
      <c r="L48" s="143" t="n"/>
      <c r="M48" s="14" t="n"/>
    </row>
    <row r="49" ht="30" customHeight="1">
      <c r="A49" s="14" t="n"/>
      <c r="B49" s="10" t="inlineStr">
        <is>
          <t>Factor de emisión del SNI para el proyecto</t>
        </is>
      </c>
      <c r="C49" s="49" t="inlineStr">
        <is>
          <t>tCO₂/MWh</t>
        </is>
      </c>
      <c r="D49" s="143" t="n"/>
      <c r="E49" s="163" t="n">
        <v>0.4567</v>
      </c>
      <c r="H49" s="57" t="inlineStr">
        <is>
          <t>Informe 2024 del Factor de Emisión de CO2 del Sistema Nacional Interconectado del Ecuador</t>
        </is>
      </c>
      <c r="I49" s="142" t="n"/>
      <c r="J49" s="142" t="n"/>
      <c r="K49" s="142" t="n"/>
      <c r="L49" s="143" t="n"/>
      <c r="M49" s="14" t="n"/>
    </row>
    <row r="50" ht="30" customHeight="1">
      <c r="A50" s="14" t="n"/>
      <c r="B50" s="10" t="inlineStr">
        <is>
          <t>Tipo de factor de emisión del SIN para el proyecto</t>
        </is>
      </c>
      <c r="C50" s="49" t="inlineStr">
        <is>
          <t>-</t>
        </is>
      </c>
      <c r="D50" s="143" t="n"/>
      <c r="E50" s="164" t="inlineStr">
        <is>
          <t>Ex Ante</t>
        </is>
      </c>
      <c r="H50" s="57" t="inlineStr">
        <is>
          <t>Informe 2024 del Factor de Emisión de CO2 del Sistema Nacional Interconectado del Ecuador</t>
        </is>
      </c>
      <c r="I50" s="142" t="n"/>
      <c r="J50" s="142" t="n"/>
      <c r="K50" s="142" t="n"/>
      <c r="L50" s="143" t="n"/>
      <c r="M50" s="14" t="n"/>
    </row>
    <row r="51" ht="30" customHeight="1">
      <c r="A51" s="14" t="n"/>
      <c r="B51" s="10" t="inlineStr">
        <is>
          <t>Cantidad de emisiones de GEI evitadas por año</t>
        </is>
      </c>
      <c r="C51" s="49" t="inlineStr">
        <is>
          <t>tCO₂/año</t>
        </is>
      </c>
      <c r="D51" s="143" t="n"/>
      <c r="E51" s="161" t="n">
        <v>227.5279</v>
      </c>
      <c r="H51" s="57" t="inlineStr">
        <is>
          <t>Cálculo: Cantidad de energía renovable producida por año * Factor de emisión del SNI para el proyecto</t>
        </is>
      </c>
      <c r="I51" s="142" t="n"/>
      <c r="J51" s="142" t="n"/>
      <c r="K51" s="142" t="n"/>
      <c r="L51" s="143" t="n"/>
      <c r="M51" s="14" t="n"/>
    </row>
    <row r="52" ht="41.25" customHeight="1">
      <c r="A52" s="14" t="n"/>
      <c r="B52" s="10" t="inlineStr">
        <is>
          <t>Cantidad de emisiones totales de GEI evitadas al final de la vida útil del sistema</t>
        </is>
      </c>
      <c r="C52" s="49" t="inlineStr">
        <is>
          <t>tCO₂</t>
        </is>
      </c>
      <c r="D52" s="143" t="n"/>
      <c r="E52" s="161" t="n">
        <v>5688.1975</v>
      </c>
      <c r="H52" s="57" t="inlineStr">
        <is>
          <t>Cálculo: Cantidad de emisiones de GEI evitadas por año * Vida útil estimada del sistema</t>
        </is>
      </c>
      <c r="I52" s="142" t="n"/>
      <c r="J52" s="142" t="n"/>
      <c r="K52" s="142" t="n"/>
      <c r="L52" s="143" t="n"/>
      <c r="M52" s="14" t="n"/>
    </row>
    <row r="53" ht="15.95" customHeight="1">
      <c r="A53" s="14" t="n"/>
      <c r="B53" s="14" t="n"/>
      <c r="C53" s="14" t="n"/>
      <c r="D53" s="14" t="n"/>
      <c r="E53" s="14" t="n"/>
      <c r="F53" s="14" t="n"/>
      <c r="G53" s="14" t="n"/>
      <c r="H53" s="14" t="n"/>
      <c r="I53" s="14" t="n"/>
      <c r="J53" s="14" t="n"/>
      <c r="K53" s="14" t="n"/>
      <c r="L53" s="14" t="n"/>
      <c r="M53" s="14" t="n"/>
    </row>
    <row r="54" ht="24.95" customHeight="1">
      <c r="A54" s="14" t="n"/>
      <c r="B54" s="54" t="inlineStr">
        <is>
          <t>5. DATOS FINANCIEROS DEL PROYECTO</t>
        </is>
      </c>
      <c r="C54" s="142" t="n"/>
      <c r="D54" s="142" t="n"/>
      <c r="E54" s="142" t="n"/>
      <c r="F54" s="142" t="n"/>
      <c r="G54" s="142" t="n"/>
      <c r="H54" s="142" t="n"/>
      <c r="I54" s="142" t="n"/>
      <c r="J54" s="142" t="n"/>
      <c r="K54" s="142" t="n"/>
      <c r="L54" s="143" t="n"/>
      <c r="M54" s="14" t="n"/>
    </row>
    <row r="55" ht="15.95" customHeight="1">
      <c r="A55" s="14" t="n"/>
      <c r="B55" s="50" t="inlineStr">
        <is>
          <t>Parámetro</t>
        </is>
      </c>
      <c r="C55" s="50" t="inlineStr">
        <is>
          <t>Unidad</t>
        </is>
      </c>
      <c r="D55" s="143" t="n"/>
      <c r="E55" s="50" t="inlineStr">
        <is>
          <t>Valor</t>
        </is>
      </c>
      <c r="F55" s="142" t="n"/>
      <c r="G55" s="143" t="n"/>
      <c r="H55" s="50" t="inlineStr">
        <is>
          <t>Fuente o referencia</t>
        </is>
      </c>
      <c r="I55" s="142" t="n"/>
      <c r="J55" s="142" t="n"/>
      <c r="K55" s="142" t="n"/>
      <c r="L55" s="143" t="n"/>
      <c r="M55" s="14" t="n"/>
    </row>
    <row r="56" ht="30" customHeight="1">
      <c r="A56" s="14" t="n"/>
      <c r="B56" s="10" t="inlineStr">
        <is>
          <t>Costo total del sistema (CAPEX)</t>
        </is>
      </c>
      <c r="C56" s="49" t="inlineStr">
        <is>
          <t>US$</t>
        </is>
      </c>
      <c r="D56" s="143" t="n"/>
      <c r="E56" s="165" t="n">
        <v>416541.64</v>
      </c>
      <c r="H56" s="166" t="n"/>
      <c r="I56" s="153" t="n"/>
      <c r="J56" s="153" t="n"/>
      <c r="K56" s="153" t="n"/>
      <c r="L56" s="154" t="n"/>
      <c r="M56" s="14" t="n"/>
    </row>
    <row r="57" ht="30" customHeight="1">
      <c r="A57" s="14" t="n"/>
      <c r="B57" s="10" t="inlineStr">
        <is>
          <t>Monto del crédito solicitado al Banco</t>
        </is>
      </c>
      <c r="C57" s="49" t="inlineStr">
        <is>
          <t>US$</t>
        </is>
      </c>
      <c r="D57" s="143" t="n"/>
      <c r="E57" s="167" t="n">
        <v>320596.89</v>
      </c>
      <c r="H57" s="168" t="inlineStr">
        <is>
          <t>Dato declarado por el cliente</t>
        </is>
      </c>
      <c r="I57" s="142" t="n"/>
      <c r="J57" s="142" t="n"/>
      <c r="K57" s="142" t="n"/>
      <c r="L57" s="143" t="n"/>
      <c r="M57" s="14" t="n"/>
    </row>
    <row r="58" ht="30" customHeight="1">
      <c r="A58" s="14" t="n"/>
      <c r="B58" s="10" t="inlineStr">
        <is>
          <t>Aporte propio del cliente</t>
        </is>
      </c>
      <c r="C58" s="49" t="inlineStr">
        <is>
          <t>US$</t>
        </is>
      </c>
      <c r="D58" s="143" t="n"/>
      <c r="E58" s="167" t="n">
        <v>95944.75</v>
      </c>
      <c r="H58" s="151" t="inlineStr">
        <is>
          <t>Cálculo: Costo total del sistema (CAPEX) - Monto del crédito solicitado al Banco</t>
        </is>
      </c>
      <c r="I58" s="142" t="n"/>
      <c r="J58" s="142" t="n"/>
      <c r="K58" s="142" t="n"/>
      <c r="L58" s="143" t="n"/>
      <c r="M58" s="14" t="n"/>
    </row>
    <row r="59" ht="30" customHeight="1">
      <c r="A59" s="14" t="n"/>
      <c r="B59" s="10" t="inlineStr">
        <is>
          <t>Tarifa eléctrica actual pagada por año</t>
        </is>
      </c>
      <c r="C59" s="49" t="inlineStr">
        <is>
          <t>US$/kWh</t>
        </is>
      </c>
      <c r="D59" s="143" t="n"/>
      <c r="E59" s="165" t="n">
        <v>0.0854</v>
      </c>
      <c r="H59" s="166" t="n"/>
      <c r="I59" s="153" t="n"/>
      <c r="J59" s="153" t="n"/>
      <c r="K59" s="153" t="n"/>
      <c r="L59" s="154" t="n"/>
      <c r="M59" s="14" t="n"/>
    </row>
    <row r="60" ht="30" customHeight="1">
      <c r="A60" s="14" t="n"/>
      <c r="B60" s="10" t="inlineStr">
        <is>
          <t>Ahorro estimado en factura eléctrica por año</t>
        </is>
      </c>
      <c r="C60" s="49" t="inlineStr">
        <is>
          <t>US$/año</t>
        </is>
      </c>
      <c r="D60" s="143" t="n"/>
      <c r="E60" s="169" t="n">
        <v>42546.28</v>
      </c>
      <c r="H60" s="166" t="n"/>
      <c r="I60" s="153" t="n"/>
      <c r="J60" s="153" t="n"/>
      <c r="K60" s="153" t="n"/>
      <c r="L60" s="154" t="n"/>
      <c r="M60" s="14" t="n"/>
    </row>
    <row r="61" ht="30" customHeight="1">
      <c r="A61" s="14" t="n"/>
      <c r="B61" s="10" t="inlineStr">
        <is>
          <t>Período de retorno simple</t>
        </is>
      </c>
      <c r="C61" s="49" t="inlineStr">
        <is>
          <t>años</t>
        </is>
      </c>
      <c r="D61" s="143" t="n"/>
      <c r="E61" s="170" t="n">
        <v>9.800000000000001</v>
      </c>
      <c r="H61" s="166" t="n"/>
      <c r="I61" s="153" t="n"/>
      <c r="J61" s="153" t="n"/>
      <c r="K61" s="153" t="n"/>
      <c r="L61" s="154" t="n"/>
      <c r="M61" s="14" t="n"/>
    </row>
    <row r="62" ht="15.95" customHeight="1">
      <c r="A62" s="14" t="n"/>
      <c r="B62" s="14" t="n"/>
      <c r="C62" s="14" t="n"/>
      <c r="D62" s="14" t="n"/>
      <c r="E62" s="14" t="n"/>
      <c r="F62" s="14" t="n"/>
      <c r="G62" s="14" t="n"/>
      <c r="H62" s="14" t="n"/>
      <c r="I62" s="14" t="n"/>
      <c r="J62" s="14" t="n"/>
      <c r="K62" s="14" t="n"/>
      <c r="L62" s="14" t="n"/>
      <c r="M62" s="14" t="n"/>
    </row>
    <row r="63" ht="24.95" customHeight="1">
      <c r="A63" s="14" t="n"/>
      <c r="B63" s="80" t="inlineStr">
        <is>
          <t>6. VERIFICACIÓN DE CRITERIOS DE ELEGIBILIDAD
(seleccionar en la lista)</t>
        </is>
      </c>
      <c r="C63" s="142" t="n"/>
      <c r="D63" s="142" t="n"/>
      <c r="E63" s="142" t="n"/>
      <c r="F63" s="142" t="n"/>
      <c r="G63" s="142" t="n"/>
      <c r="H63" s="142" t="n"/>
      <c r="I63" s="142" t="n"/>
      <c r="J63" s="142" t="n"/>
      <c r="K63" s="142" t="n"/>
      <c r="L63" s="143" t="n"/>
      <c r="M63" s="14" t="n"/>
    </row>
    <row r="64" ht="15.95" customHeight="1">
      <c r="A64" s="14" t="n"/>
      <c r="B64" s="50" t="inlineStr">
        <is>
          <t>Pregunta</t>
        </is>
      </c>
      <c r="C64" s="142" t="n"/>
      <c r="D64" s="142" t="n"/>
      <c r="E64" s="142" t="n"/>
      <c r="F64" s="143" t="n"/>
      <c r="G64" s="19" t="inlineStr">
        <is>
          <t>Referencia</t>
        </is>
      </c>
      <c r="H64" s="50" t="inlineStr">
        <is>
          <t>¿Cumple?</t>
        </is>
      </c>
      <c r="I64" s="143" t="n"/>
      <c r="J64" s="50" t="inlineStr">
        <is>
          <t>Evidencia y observaciones</t>
        </is>
      </c>
      <c r="K64" s="142" t="n"/>
      <c r="L64" s="143" t="n"/>
      <c r="M64" s="14" t="n"/>
    </row>
    <row r="65" ht="69.95" customHeight="1">
      <c r="A65" s="14" t="n"/>
      <c r="B65" s="2" t="inlineStr">
        <is>
          <t>¿El monto solicitado al Banco será empleado exclusivamente para el desarrollo del proyecto verde?</t>
        </is>
      </c>
      <c r="C65" s="142" t="n"/>
      <c r="D65" s="142" t="n"/>
      <c r="E65" s="142" t="n"/>
      <c r="F65" s="143" t="n"/>
      <c r="G65" s="20" t="inlineStr">
        <is>
          <t>Requisitos generales del Crédito Terra</t>
        </is>
      </c>
      <c r="H65" s="29" t="inlineStr">
        <is>
          <t>SI</t>
        </is>
      </c>
      <c r="J65" s="60" t="n"/>
      <c r="K65" s="153" t="n"/>
      <c r="L65" s="154" t="n"/>
      <c r="M65" s="14" t="n"/>
    </row>
    <row r="66" ht="69.95" customHeight="1">
      <c r="A66" s="14" t="n"/>
      <c r="B66" s="2" t="inlineStr">
        <is>
          <t>¿Existe evidencia objetiva del proyecto (p. ej.: informe técnico con la descripción del proyecto, evidencia objetiva de su aplicación, indicadores ambientales)?</t>
        </is>
      </c>
      <c r="C66" s="142" t="n"/>
      <c r="D66" s="142" t="n"/>
      <c r="E66" s="142" t="n"/>
      <c r="F66" s="143" t="n"/>
      <c r="G66" s="20" t="inlineStr">
        <is>
          <t>Documentación requerida del Crédito Terra</t>
        </is>
      </c>
      <c r="H66" s="29" t="inlineStr">
        <is>
          <t>NO</t>
        </is>
      </c>
      <c r="J66" s="60" t="n"/>
      <c r="K66" s="153" t="n"/>
      <c r="L66" s="154" t="n"/>
      <c r="M66" s="14" t="n"/>
    </row>
    <row r="67" ht="69.95" customHeight="1">
      <c r="A67" s="14" t="n"/>
      <c r="B67" s="2" t="inlineStr">
        <is>
          <t>¿Existen indicadores ambientales del proyecto?
Ver sección 4 de la ficha.</t>
        </is>
      </c>
      <c r="C67" s="142" t="n"/>
      <c r="D67" s="142" t="n"/>
      <c r="E67" s="142" t="n"/>
      <c r="F67" s="143" t="n"/>
      <c r="G67" s="21" t="inlineStr">
        <is>
          <t>Indicadores ambientales y sociales del Crédito Terra</t>
        </is>
      </c>
      <c r="H67" s="29" t="inlineStr">
        <is>
          <t>SI</t>
        </is>
      </c>
      <c r="J67" s="60" t="n"/>
      <c r="K67" s="153" t="n"/>
      <c r="L67" s="154" t="n"/>
      <c r="M67" s="14" t="n"/>
    </row>
    <row r="68" ht="69.95" customHeight="1">
      <c r="A68" s="14" t="n"/>
      <c r="B68" s="2" t="inlineStr">
        <is>
          <t>¿El proyecto o las actividades del cliente solicitante cumplen con la normativa nacional ambiental o social aplicable?</t>
        </is>
      </c>
      <c r="C68" s="142" t="n"/>
      <c r="D68" s="142" t="n"/>
      <c r="E68" s="142" t="n"/>
      <c r="F68" s="143" t="n"/>
      <c r="G68" s="22" t="inlineStr">
        <is>
          <t>Anexo 3 - Exclusiones generales del Crédito Terra</t>
        </is>
      </c>
      <c r="H68" s="29" t="inlineStr">
        <is>
          <t>SI</t>
        </is>
      </c>
      <c r="J68" s="60" t="n"/>
      <c r="K68" s="153" t="n"/>
      <c r="L68" s="154" t="n"/>
      <c r="M68" s="14" t="n"/>
    </row>
    <row r="69" ht="69.95" customHeight="1">
      <c r="A69" s="14" t="n"/>
      <c r="B69" s="2" t="inlineStr">
        <is>
          <t>¿El proyecto o las actividades del cliente solicitante NO son consideradas ambiental y socialmente como Categoría A, según las normas del IFC?
Los proyectos Categoría A son aquellos que podrían tener como ambientales y sociales potencialmente considerables que son diversos, irreversibles o sin precedentes y que pueden rebasar los límites del sitio del proyecto o las resultado riesgos o impactos  instalaciones.</t>
        </is>
      </c>
      <c r="C69" s="142" t="n"/>
      <c r="D69" s="142" t="n"/>
      <c r="E69" s="142" t="n"/>
      <c r="F69" s="143" t="n"/>
      <c r="G69" s="22" t="inlineStr">
        <is>
          <t>Anexo 3 - Exclusiones generales del Crédito Terra</t>
        </is>
      </c>
      <c r="H69" s="29" t="inlineStr">
        <is>
          <t>SI</t>
        </is>
      </c>
      <c r="J69" s="60" t="n"/>
      <c r="K69" s="153" t="n"/>
      <c r="L69" s="154" t="n"/>
      <c r="M69" s="14" t="n"/>
    </row>
    <row r="70" ht="69.95" customHeight="1">
      <c r="A70" s="14" t="n"/>
      <c r="B70" s="2" t="inlineStr">
        <is>
          <t>¿El proyecto NO involucra combustibles fósiles, incluyendo: tecnologías de carbón refinado o alternativo; proyectos de conversión de gas a líquido; y proyectos de gas natural?</t>
        </is>
      </c>
      <c r="C70" s="142" t="n"/>
      <c r="D70" s="142" t="n"/>
      <c r="E70" s="142" t="n"/>
      <c r="F70" s="143" t="n"/>
      <c r="G70" s="22" t="inlineStr">
        <is>
          <t>Anexo 3 - Exclusiones generales del Crédito Terra</t>
        </is>
      </c>
      <c r="H70" s="29" t="inlineStr">
        <is>
          <t>SI</t>
        </is>
      </c>
      <c r="J70" s="60" t="n"/>
      <c r="K70" s="153" t="n"/>
      <c r="L70" s="154" t="n"/>
      <c r="M70" s="14" t="n"/>
    </row>
    <row r="71" ht="69.95" customHeight="1">
      <c r="A71" s="14" t="n"/>
      <c r="B71" s="2" t="inlineStr">
        <is>
          <t>¿El proyecto NO produce impactos negativos significativos sobre otros objetivos ambientales?</t>
        </is>
      </c>
      <c r="C71" s="142" t="n"/>
      <c r="D71" s="142" t="n"/>
      <c r="E71" s="142" t="n"/>
      <c r="F71" s="143" t="n"/>
      <c r="G71" s="22" t="inlineStr">
        <is>
          <t>Anexo 3 - Exclusiones generales del Crédito Terra</t>
        </is>
      </c>
      <c r="H71" s="29" t="inlineStr">
        <is>
          <t>SI</t>
        </is>
      </c>
      <c r="J71" s="60" t="n"/>
      <c r="K71" s="153" t="n"/>
      <c r="L71" s="154" t="n"/>
      <c r="M71" s="14" t="n"/>
    </row>
    <row r="72" ht="69.95" customHeight="1">
      <c r="A72" s="14" t="n"/>
      <c r="B72" s="2" t="inlineStr">
        <is>
          <t>¿El proyecto o la actividad del cliente NO se encuentra en la lista de exclusión del SARAS?</t>
        </is>
      </c>
      <c r="C72" s="142" t="n"/>
      <c r="D72" s="142" t="n"/>
      <c r="E72" s="142" t="n"/>
      <c r="F72" s="143" t="n"/>
      <c r="G72" s="22" t="inlineStr">
        <is>
          <t>Anexo 3 - Exclusiones generales del Crédito Terra</t>
        </is>
      </c>
      <c r="H72" s="29" t="inlineStr">
        <is>
          <t>SI</t>
        </is>
      </c>
      <c r="J72" s="60" t="n"/>
      <c r="K72" s="153" t="n"/>
      <c r="L72" s="154" t="n"/>
      <c r="M72" s="14" t="n"/>
    </row>
    <row r="73" ht="69.95" customHeight="1">
      <c r="A73" s="14" t="n"/>
      <c r="B73" s="2" t="inlineStr">
        <is>
          <t>¿El proyecto o el cliente solicitante no se encuentra involucrado en controversias sociales y ambientales por impactos negativos?</t>
        </is>
      </c>
      <c r="C73" s="142" t="n"/>
      <c r="D73" s="142" t="n"/>
      <c r="E73" s="142" t="n"/>
      <c r="F73" s="143" t="n"/>
      <c r="G73" s="22" t="inlineStr">
        <is>
          <t>Anexo 3 - Exclusiones generales del Crédito Terra</t>
        </is>
      </c>
      <c r="H73" s="29" t="inlineStr">
        <is>
          <t>NO</t>
        </is>
      </c>
      <c r="J73" s="60" t="n"/>
      <c r="K73" s="153" t="n"/>
      <c r="L73" s="154" t="n"/>
      <c r="M73" s="14" t="n"/>
    </row>
    <row r="74" ht="69.95" customHeight="1">
      <c r="A74" s="14" t="n"/>
      <c r="B74" s="2" t="inlineStr">
        <is>
          <t>¿El crédito solicitado NO corresponde a un préstamo de consumo?</t>
        </is>
      </c>
      <c r="C74" s="142" t="n"/>
      <c r="D74" s="142" t="n"/>
      <c r="E74" s="142" t="n"/>
      <c r="F74" s="143" t="n"/>
      <c r="G74" s="22" t="inlineStr">
        <is>
          <t>Anexo 3 - Exclusiones generales del Crédito Terra</t>
        </is>
      </c>
      <c r="H74" s="29" t="inlineStr">
        <is>
          <t>SI</t>
        </is>
      </c>
      <c r="J74" s="60" t="n"/>
      <c r="K74" s="153" t="n"/>
      <c r="L74" s="154" t="n"/>
      <c r="M74" s="14" t="n"/>
    </row>
    <row r="75" ht="15.95" customHeight="1">
      <c r="A75" s="14" t="n"/>
      <c r="B75" s="14" t="n"/>
      <c r="C75" s="14" t="n"/>
      <c r="D75" s="14" t="n"/>
      <c r="E75" s="14" t="n"/>
      <c r="F75" s="14" t="n"/>
      <c r="G75" s="14" t="n"/>
      <c r="H75" s="14" t="n"/>
      <c r="I75" s="14" t="n"/>
      <c r="J75" s="14" t="n"/>
      <c r="K75" s="14" t="n"/>
      <c r="L75" s="14" t="n"/>
      <c r="M75" s="14" t="n"/>
    </row>
    <row r="76" ht="24.95" customHeight="1">
      <c r="A76" s="14" t="n"/>
      <c r="B76" s="54" t="inlineStr">
        <is>
          <t>7. DOCUMENTACIÓN A SOLICITAR AL CLIENTE</t>
        </is>
      </c>
      <c r="C76" s="142" t="n"/>
      <c r="D76" s="142" t="n"/>
      <c r="E76" s="142" t="n"/>
      <c r="F76" s="142" t="n"/>
      <c r="G76" s="142" t="n"/>
      <c r="H76" s="142" t="n"/>
      <c r="I76" s="142" t="n"/>
      <c r="J76" s="142" t="n"/>
      <c r="K76" s="142" t="n"/>
      <c r="L76" s="143" t="n"/>
      <c r="M76" s="14" t="n"/>
    </row>
    <row r="77" ht="15.95" customHeight="1">
      <c r="A77" s="14" t="n"/>
      <c r="B77" s="50" t="inlineStr">
        <is>
          <t>Documento</t>
        </is>
      </c>
      <c r="C77" s="142" t="n"/>
      <c r="D77" s="142" t="n"/>
      <c r="E77" s="142" t="n"/>
      <c r="F77" s="142" t="n"/>
      <c r="G77" s="143" t="n"/>
      <c r="H77" s="50" t="inlineStr">
        <is>
          <t>Estado</t>
        </is>
      </c>
      <c r="I77" s="143" t="n"/>
      <c r="J77" s="50" t="inlineStr">
        <is>
          <t>Observaciones</t>
        </is>
      </c>
      <c r="K77" s="142" t="n"/>
      <c r="L77" s="143" t="n"/>
      <c r="M77" s="14" t="n"/>
    </row>
    <row r="78" ht="30" customHeight="1">
      <c r="A78" s="14" t="n"/>
      <c r="B78" s="57" t="inlineStr">
        <is>
          <t>Informe técnico con la descripción del proyecto, incluyendo indicadores ambientales</t>
        </is>
      </c>
      <c r="C78" s="142" t="n"/>
      <c r="D78" s="142" t="n"/>
      <c r="E78" s="142" t="n"/>
      <c r="F78" s="142" t="n"/>
      <c r="G78" s="143" t="n"/>
      <c r="H78" s="63" t="inlineStr">
        <is>
          <t>Pendiente</t>
        </is>
      </c>
      <c r="I78" s="154" t="n"/>
      <c r="J78" s="58" t="n"/>
      <c r="K78" s="153" t="n"/>
      <c r="L78" s="154" t="n"/>
      <c r="M78" s="14" t="n"/>
    </row>
    <row r="79" ht="30" customHeight="1">
      <c r="A79" s="14" t="n"/>
      <c r="B79" s="27" t="inlineStr">
        <is>
          <t>Otra evidencia objetiva de aplicación del proyecto (indicar cuál)</t>
        </is>
      </c>
      <c r="C79" s="153" t="n"/>
      <c r="D79" s="153" t="n"/>
      <c r="E79" s="153" t="n"/>
      <c r="F79" s="153" t="n"/>
      <c r="G79" s="154" t="n"/>
      <c r="H79" s="63" t="inlineStr">
        <is>
          <t>Pendiente</t>
        </is>
      </c>
      <c r="I79" s="154" t="n"/>
      <c r="J79" s="58" t="n"/>
      <c r="K79" s="153" t="n"/>
      <c r="L79" s="154" t="n"/>
      <c r="M79" s="14" t="n"/>
    </row>
    <row r="80" ht="30" customHeight="1">
      <c r="A80" s="14" t="n"/>
      <c r="B80" s="27" t="inlineStr">
        <is>
          <t>Otra evidencia objetiva de aplicación del proyecto (indicar cuál)</t>
        </is>
      </c>
      <c r="C80" s="153" t="n"/>
      <c r="D80" s="153" t="n"/>
      <c r="E80" s="153" t="n"/>
      <c r="F80" s="153" t="n"/>
      <c r="G80" s="154" t="n"/>
      <c r="H80" s="63" t="inlineStr">
        <is>
          <t>Pendiente</t>
        </is>
      </c>
      <c r="I80" s="154" t="n"/>
      <c r="J80" s="58" t="n"/>
      <c r="K80" s="153" t="n"/>
      <c r="L80" s="154" t="n"/>
      <c r="M80" s="14" t="n"/>
    </row>
    <row r="81" ht="30" customHeight="1">
      <c r="A81" s="14" t="n"/>
      <c r="B81" s="27" t="inlineStr">
        <is>
          <t>Otra evidencia objetiva de aplicación del proyecto (indicar cuál)</t>
        </is>
      </c>
      <c r="C81" s="153" t="n"/>
      <c r="D81" s="153" t="n"/>
      <c r="E81" s="153" t="n"/>
      <c r="F81" s="153" t="n"/>
      <c r="G81" s="154" t="n"/>
      <c r="H81" s="63" t="inlineStr">
        <is>
          <t>Pendiente</t>
        </is>
      </c>
      <c r="I81" s="154" t="n"/>
      <c r="J81" s="58" t="n"/>
      <c r="K81" s="153" t="n"/>
      <c r="L81" s="154" t="n"/>
      <c r="M81" s="14" t="n"/>
    </row>
    <row r="82" ht="30" customHeight="1">
      <c r="A82" s="14" t="n"/>
      <c r="B82" s="27" t="inlineStr">
        <is>
          <t>Otra evidencia objetiva de aplicación del proyecto (indicar cuál)</t>
        </is>
      </c>
      <c r="C82" s="153" t="n"/>
      <c r="D82" s="153" t="n"/>
      <c r="E82" s="153" t="n"/>
      <c r="F82" s="153" t="n"/>
      <c r="G82" s="154" t="n"/>
      <c r="H82" s="63" t="inlineStr">
        <is>
          <t>Pendiente</t>
        </is>
      </c>
      <c r="I82" s="154" t="n"/>
      <c r="J82" s="58" t="n"/>
      <c r="K82" s="153" t="n"/>
      <c r="L82" s="154" t="n"/>
      <c r="M82" s="14" t="n"/>
    </row>
    <row r="83" ht="30" customHeight="1">
      <c r="A83" s="14" t="n"/>
      <c r="B83" s="27" t="inlineStr">
        <is>
          <t>Otra evidencia objetiva de aplicación del proyecto (indicar cuál)</t>
        </is>
      </c>
      <c r="C83" s="153" t="n"/>
      <c r="D83" s="153" t="n"/>
      <c r="E83" s="153" t="n"/>
      <c r="F83" s="153" t="n"/>
      <c r="G83" s="154" t="n"/>
      <c r="H83" s="63" t="inlineStr">
        <is>
          <t>Pendiente</t>
        </is>
      </c>
      <c r="I83" s="154" t="n"/>
      <c r="J83" s="58" t="n"/>
      <c r="K83" s="153" t="n"/>
      <c r="L83" s="154" t="n"/>
      <c r="M83" s="14" t="n"/>
    </row>
    <row r="84" ht="30" customHeight="1">
      <c r="A84" s="14" t="n"/>
      <c r="B84" s="27" t="inlineStr">
        <is>
          <t>Otra evidencia objetiva de aplicación del proyecto (indicar cuál)</t>
        </is>
      </c>
      <c r="C84" s="153" t="n"/>
      <c r="D84" s="153" t="n"/>
      <c r="E84" s="153" t="n"/>
      <c r="F84" s="153" t="n"/>
      <c r="G84" s="154" t="n"/>
      <c r="H84" s="63" t="inlineStr">
        <is>
          <t>Pendiente</t>
        </is>
      </c>
      <c r="I84" s="154" t="n"/>
      <c r="J84" s="58" t="n"/>
      <c r="K84" s="153" t="n"/>
      <c r="L84" s="154" t="n"/>
      <c r="M84" s="14" t="n"/>
    </row>
    <row r="85" ht="30" customHeight="1">
      <c r="A85" s="14" t="n"/>
      <c r="B85" s="27" t="inlineStr">
        <is>
          <t>Otra evidencia objetiva de aplicación del proyecto (indicar cuál)</t>
        </is>
      </c>
      <c r="C85" s="153" t="n"/>
      <c r="D85" s="153" t="n"/>
      <c r="E85" s="153" t="n"/>
      <c r="F85" s="153" t="n"/>
      <c r="G85" s="154" t="n"/>
      <c r="H85" s="63" t="inlineStr">
        <is>
          <t>Pendiente</t>
        </is>
      </c>
      <c r="I85" s="154" t="n"/>
      <c r="J85" s="58" t="n"/>
      <c r="K85" s="153" t="n"/>
      <c r="L85" s="154" t="n"/>
      <c r="M85" s="14" t="n"/>
    </row>
    <row r="86" ht="30" customHeight="1">
      <c r="A86" s="14" t="n"/>
      <c r="B86" s="27" t="inlineStr">
        <is>
          <t>Otra evidencia objetiva de aplicación del proyecto (indicar cuál)</t>
        </is>
      </c>
      <c r="C86" s="153" t="n"/>
      <c r="D86" s="153" t="n"/>
      <c r="E86" s="153" t="n"/>
      <c r="F86" s="153" t="n"/>
      <c r="G86" s="154" t="n"/>
      <c r="H86" s="63" t="inlineStr">
        <is>
          <t>Pendiente</t>
        </is>
      </c>
      <c r="I86" s="154" t="n"/>
      <c r="J86" s="58" t="n"/>
      <c r="K86" s="153" t="n"/>
      <c r="L86" s="154" t="n"/>
      <c r="M86" s="14" t="n"/>
    </row>
    <row r="87" ht="15.95" customHeight="1">
      <c r="A87" s="14" t="n"/>
      <c r="B87" s="14" t="n"/>
      <c r="C87" s="14" t="n"/>
      <c r="D87" s="14" t="n"/>
      <c r="E87" s="14" t="n"/>
      <c r="F87" s="14" t="n"/>
      <c r="G87" s="14" t="n"/>
      <c r="H87" s="14" t="n"/>
      <c r="I87" s="14" t="n"/>
      <c r="J87" s="14" t="n"/>
      <c r="K87" s="14" t="n"/>
      <c r="L87" s="14" t="n"/>
      <c r="M87" s="14" t="n"/>
    </row>
    <row r="88" ht="24.95" customHeight="1">
      <c r="A88" s="14" t="n"/>
      <c r="B88" s="54" t="inlineStr">
        <is>
          <t>8. OBSERVACIONES Y PRÓXIMOS PASOS</t>
        </is>
      </c>
      <c r="C88" s="142" t="n"/>
      <c r="D88" s="142" t="n"/>
      <c r="E88" s="142" t="n"/>
      <c r="F88" s="142" t="n"/>
      <c r="G88" s="142" t="n"/>
      <c r="H88" s="142" t="n"/>
      <c r="I88" s="142" t="n"/>
      <c r="J88" s="142" t="n"/>
      <c r="K88" s="142" t="n"/>
      <c r="L88" s="143" t="n"/>
      <c r="M88" s="14" t="n"/>
    </row>
    <row r="89" ht="34.5" customHeight="1">
      <c r="A89" s="14" t="n"/>
      <c r="B89" s="38" t="inlineStr">
        <is>
          <t>¿Cumple todos los criterios de elegibilidad del Crédito Terra?</t>
        </is>
      </c>
      <c r="C89" s="143" t="n"/>
      <c r="D89" s="40" t="inlineStr">
        <is>
          <t>NO CUMPLE</t>
        </is>
      </c>
      <c r="M89" s="14" t="n"/>
    </row>
    <row r="90" ht="80.09999999999999" customHeight="1">
      <c r="A90" s="14" t="n"/>
      <c r="B90" s="38" t="inlineStr">
        <is>
          <t>Observaciones</t>
        </is>
      </c>
      <c r="C90" t="inlineStr">
        <is>
          <t>Criterios cumplidos: 8/10. Fallos: evidencia_objetiva_proyecto, no_controversias_socioambientales.</t>
        </is>
      </c>
      <c r="D90" s="86" t="n"/>
      <c r="E90" s="142" t="n"/>
      <c r="F90" s="142" t="n"/>
      <c r="G90" s="142" t="n"/>
      <c r="H90" s="142" t="n"/>
      <c r="I90" s="142" t="n"/>
      <c r="J90" s="142" t="n"/>
      <c r="K90" s="142" t="n"/>
      <c r="L90" s="143" t="n"/>
      <c r="M90" s="14" t="n"/>
    </row>
    <row r="91" ht="80.09999999999999" customHeight="1">
      <c r="A91" s="14" t="n"/>
      <c r="B91" s="38" t="inlineStr">
        <is>
          <t>Próximos pasos acordados</t>
        </is>
      </c>
      <c r="C91" t="inlineStr">
        <is>
          <t>Solicitar documentacion pendiente.</t>
        </is>
      </c>
      <c r="D91" s="86" t="n"/>
      <c r="E91" s="142" t="n"/>
      <c r="F91" s="142" t="n"/>
      <c r="G91" s="142" t="n"/>
      <c r="H91" s="142" t="n"/>
      <c r="I91" s="142" t="n"/>
      <c r="J91" s="142" t="n"/>
      <c r="K91" s="142" t="n"/>
      <c r="L91" s="143" t="n"/>
      <c r="M91" s="14" t="n"/>
    </row>
    <row r="92" ht="30" customHeight="1">
      <c r="A92" s="14" t="n"/>
      <c r="B92" s="38" t="inlineStr">
        <is>
          <t>Fecha acordada de entrega de documentos</t>
        </is>
      </c>
      <c r="C92" s="143" t="n"/>
      <c r="D92" s="88" t="n"/>
      <c r="E92" s="142" t="n"/>
      <c r="F92" s="143" t="n"/>
      <c r="G92" s="38" t="inlineStr">
        <is>
          <t>Firma del responsable del levantamiento de ficha</t>
        </is>
      </c>
      <c r="H92" s="143" t="n"/>
      <c r="I92" s="84" t="n"/>
      <c r="J92" s="153" t="n"/>
      <c r="K92" s="153" t="n"/>
      <c r="L92" s="154" t="n"/>
      <c r="M92" s="14" t="n"/>
    </row>
    <row r="93" ht="15.95" customHeight="1">
      <c r="A93" s="14" t="n"/>
      <c r="B93" s="14" t="n"/>
      <c r="C93" s="14" t="n"/>
      <c r="D93" s="14" t="n"/>
      <c r="E93" s="14" t="n"/>
      <c r="F93" s="14" t="n"/>
      <c r="G93" s="14" t="n"/>
      <c r="H93" s="14" t="n"/>
      <c r="I93" s="14" t="n"/>
      <c r="J93" s="14" t="n"/>
      <c r="K93" s="14" t="n"/>
      <c r="L93" s="14" t="n"/>
      <c r="M93" s="14" t="n"/>
    </row>
    <row r="94" hidden="1" ht="15.95" customHeight="1">
      <c r="A94" s="13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</row>
    <row r="95" hidden="1" ht="15.95" customHeight="1"/>
    <row r="96" hidden="1" ht="15.95" customHeight="1"/>
    <row r="97" hidden="1" ht="15.95" customHeight="1"/>
    <row r="98" hidden="1" ht="15.95" customHeight="1"/>
    <row r="99" hidden="1" ht="15.95" customHeight="1"/>
    <row r="100" hidden="1" ht="15.95" customHeight="1"/>
    <row r="101" hidden="1" ht="15.95" customHeight="1"/>
    <row r="102" hidden="1" ht="15.95" customHeight="1"/>
    <row r="103" hidden="1" ht="15.95" customHeight="1"/>
    <row r="104" hidden="1" ht="15.95" customHeight="1"/>
    <row r="105" hidden="1" ht="15.95" customHeight="1"/>
    <row r="106" hidden="1" ht="15.95" customHeight="1"/>
    <row r="107" hidden="1" ht="15.95" customHeight="1"/>
    <row r="108" hidden="1" ht="15.95" customHeight="1"/>
    <row r="109" hidden="1" ht="15.95" customHeight="1"/>
    <row r="110" hidden="1" ht="15.95" customHeight="1"/>
    <row r="111" hidden="1" ht="15.95" customHeight="1"/>
    <row r="112" hidden="1" ht="15.95" customHeight="1"/>
    <row r="113" hidden="1" ht="15.95" customHeight="1"/>
    <row r="114" hidden="1" ht="15.95" customHeight="1"/>
    <row r="115" hidden="1" ht="15.95" customHeight="1"/>
    <row r="116" hidden="1" ht="15.95" customHeight="1"/>
    <row r="117" hidden="1" ht="15.95" customHeight="1"/>
    <row r="118" hidden="1" ht="15.95" customHeight="1"/>
    <row r="119" hidden="1" ht="15.95" customHeight="1"/>
    <row r="120" hidden="1" ht="15.95" customHeight="1"/>
    <row r="121" hidden="1" ht="15.95" customHeight="1"/>
    <row r="122" hidden="1" ht="15.95" customHeight="1"/>
    <row r="123" hidden="1" ht="15.95" customHeight="1"/>
    <row r="124" hidden="1" ht="15.95" customHeight="1"/>
    <row r="125" hidden="1" ht="15.95" customHeight="1"/>
    <row r="126" hidden="1" ht="15.95" customHeight="1"/>
    <row r="127" hidden="1" ht="15.95" customHeight="1"/>
    <row r="128" hidden="1" ht="15.95" customHeight="1"/>
  </sheetData>
  <mergeCells count="132">
    <mergeCell ref="H82:I82"/>
    <mergeCell ref="J74:L74"/>
    <mergeCell ref="J83:L83"/>
    <mergeCell ref="H41:L41"/>
    <mergeCell ref="B71:F71"/>
    <mergeCell ref="B82:G82"/>
    <mergeCell ref="J85:L85"/>
    <mergeCell ref="B12:L12"/>
    <mergeCell ref="H56:L56"/>
    <mergeCell ref="J66:L66"/>
    <mergeCell ref="C41:D41"/>
    <mergeCell ref="C50:D50"/>
    <mergeCell ref="H49:L49"/>
    <mergeCell ref="D92:F92"/>
    <mergeCell ref="C56:D56"/>
    <mergeCell ref="H79:I79"/>
    <mergeCell ref="H81:I81"/>
    <mergeCell ref="J72:L72"/>
    <mergeCell ref="J81:L81"/>
    <mergeCell ref="D90:L90"/>
    <mergeCell ref="H48:L48"/>
    <mergeCell ref="J84:L84"/>
    <mergeCell ref="B86:G86"/>
    <mergeCell ref="B63:L63"/>
    <mergeCell ref="J80:L80"/>
    <mergeCell ref="H29:L29"/>
    <mergeCell ref="H38:L38"/>
    <mergeCell ref="B72:F72"/>
    <mergeCell ref="B25:L25"/>
    <mergeCell ref="J65:L65"/>
    <mergeCell ref="J70:L70"/>
    <mergeCell ref="J79:L79"/>
    <mergeCell ref="J1:K1"/>
    <mergeCell ref="C45:D45"/>
    <mergeCell ref="B78:G78"/>
    <mergeCell ref="H58:L58"/>
    <mergeCell ref="B70:F70"/>
    <mergeCell ref="H40:L40"/>
    <mergeCell ref="H83:I83"/>
    <mergeCell ref="H31:L31"/>
    <mergeCell ref="C47:D47"/>
    <mergeCell ref="H51:L51"/>
    <mergeCell ref="H60:L60"/>
    <mergeCell ref="C40:D40"/>
    <mergeCell ref="H85:I85"/>
    <mergeCell ref="C60:D60"/>
    <mergeCell ref="E47:G47"/>
    <mergeCell ref="H57:L57"/>
    <mergeCell ref="H80:I80"/>
    <mergeCell ref="B74:F74"/>
    <mergeCell ref="J67:L67"/>
    <mergeCell ref="B68:F68"/>
    <mergeCell ref="C57:D57"/>
    <mergeCell ref="B89:C89"/>
    <mergeCell ref="H42:L42"/>
    <mergeCell ref="J69:L69"/>
    <mergeCell ref="J78:L78"/>
    <mergeCell ref="B77:G77"/>
    <mergeCell ref="H30:L30"/>
    <mergeCell ref="B54:L54"/>
    <mergeCell ref="B1:D1"/>
    <mergeCell ref="C58:D58"/>
    <mergeCell ref="D91:L91"/>
    <mergeCell ref="C26:G26"/>
    <mergeCell ref="H59:L59"/>
    <mergeCell ref="E45:G45"/>
    <mergeCell ref="C10:G10"/>
    <mergeCell ref="B84:G84"/>
    <mergeCell ref="H46:L46"/>
    <mergeCell ref="B2:L2"/>
    <mergeCell ref="C9:G9"/>
    <mergeCell ref="H61:L61"/>
    <mergeCell ref="C59:D59"/>
    <mergeCell ref="B80:G80"/>
    <mergeCell ref="B73:F73"/>
    <mergeCell ref="J71:L71"/>
    <mergeCell ref="C46:D46"/>
    <mergeCell ref="B44:L44"/>
    <mergeCell ref="H45:L45"/>
    <mergeCell ref="E37:G37"/>
    <mergeCell ref="C51:D51"/>
    <mergeCell ref="H32:L32"/>
    <mergeCell ref="B79:G79"/>
    <mergeCell ref="C61:D61"/>
    <mergeCell ref="H84:I84"/>
    <mergeCell ref="J73:L73"/>
    <mergeCell ref="C48:D48"/>
    <mergeCell ref="H47:L47"/>
    <mergeCell ref="J82:L82"/>
    <mergeCell ref="B65:F65"/>
    <mergeCell ref="B92:C92"/>
    <mergeCell ref="B81:G81"/>
    <mergeCell ref="H27:L27"/>
    <mergeCell ref="H77:I77"/>
    <mergeCell ref="C38:D38"/>
    <mergeCell ref="H86:I86"/>
    <mergeCell ref="B20:L20"/>
    <mergeCell ref="H33:L33"/>
    <mergeCell ref="J68:L68"/>
    <mergeCell ref="C49:D49"/>
    <mergeCell ref="H26:L26"/>
    <mergeCell ref="H78:I78"/>
    <mergeCell ref="C42:D42"/>
    <mergeCell ref="B66:F66"/>
    <mergeCell ref="H50:L50"/>
    <mergeCell ref="H55:L55"/>
    <mergeCell ref="J86:L86"/>
    <mergeCell ref="H34:L34"/>
    <mergeCell ref="H39:L39"/>
    <mergeCell ref="H64:I64"/>
    <mergeCell ref="E1:I1"/>
    <mergeCell ref="B67:F67"/>
    <mergeCell ref="C55:D55"/>
    <mergeCell ref="B83:G83"/>
    <mergeCell ref="H52:L52"/>
    <mergeCell ref="B69:F69"/>
    <mergeCell ref="G92:H92"/>
    <mergeCell ref="B88:L88"/>
    <mergeCell ref="B85:G85"/>
    <mergeCell ref="H28:L28"/>
    <mergeCell ref="C52:D52"/>
    <mergeCell ref="H37:L37"/>
    <mergeCell ref="C8:G8"/>
    <mergeCell ref="J64:L64"/>
    <mergeCell ref="C39:D39"/>
    <mergeCell ref="E55:G55"/>
    <mergeCell ref="B64:F64"/>
    <mergeCell ref="C37:D37"/>
    <mergeCell ref="I92:L92"/>
    <mergeCell ref="B36:L36"/>
    <mergeCell ref="B76:L76"/>
    <mergeCell ref="J77:L77"/>
  </mergeCells>
  <conditionalFormatting sqref="D89:L89">
    <cfRule type="cellIs" priority="1" operator="equal" dxfId="6">
      <formula>"CUMPLE"</formula>
    </cfRule>
    <cfRule type="cellIs" priority="2" operator="equal" dxfId="5">
      <formula>"NO CUMPLE"</formula>
    </cfRule>
  </conditionalFormatting>
  <conditionalFormatting sqref="H65:I74">
    <cfRule type="cellIs" priority="6" operator="equal" dxfId="0">
      <formula>"NO"</formula>
    </cfRule>
    <cfRule type="cellIs" priority="7" operator="equal" dxfId="1">
      <formula>"SI"</formula>
    </cfRule>
  </conditionalFormatting>
  <conditionalFormatting sqref="H78:I78">
    <cfRule type="cellIs" priority="3" operator="equal" dxfId="2">
      <formula>"No aplica"</formula>
    </cfRule>
  </conditionalFormatting>
  <conditionalFormatting sqref="H78:I86">
    <cfRule type="cellIs" priority="4" operator="equal" dxfId="1">
      <formula>"RECIBIDO"</formula>
    </cfRule>
    <cfRule type="cellIs" priority="5" operator="equal" dxfId="0">
      <formula>"PENDIENTE"</formula>
    </cfRule>
  </conditionalFormatting>
  <hyperlinks>
    <hyperlink xmlns:r="http://schemas.openxmlformats.org/officeDocument/2006/relationships" ref="H13" r:id="rId1"/>
  </hyperlinks>
  <pageMargins left="0.75" right="0.75" top="1" bottom="1" header="0.5" footer="0.5"/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tabColor theme="0" tint="-0.499984740745262"/>
    <outlinePr summaryBelow="1" summaryRight="1"/>
    <pageSetUpPr/>
  </sheetPr>
  <dimension ref="A1:U23"/>
  <sheetViews>
    <sheetView topLeftCell="D1" workbookViewId="0">
      <selection activeCell="M14" sqref="M14"/>
    </sheetView>
  </sheetViews>
  <sheetFormatPr baseColWidth="10" defaultRowHeight="15"/>
  <cols>
    <col width="33.42578125" bestFit="1" customWidth="1" min="1" max="1"/>
    <col width="23.140625" bestFit="1" customWidth="1" min="3" max="3"/>
    <col width="24.140625" bestFit="1" customWidth="1" min="5" max="5"/>
    <col width="14.5703125" bestFit="1" customWidth="1" min="7" max="7"/>
    <col width="26.7109375" bestFit="1" customWidth="1" min="9" max="9"/>
    <col width="74.140625" customWidth="1" min="10" max="10"/>
    <col width="14.7109375" customWidth="1" min="12" max="12"/>
    <col width="20.85546875" customWidth="1" min="14" max="14"/>
    <col width="15.85546875" bestFit="1" customWidth="1" min="15" max="15"/>
    <col width="16.140625" customWidth="1" min="17" max="17"/>
    <col width="13.28515625" customWidth="1" min="19" max="19"/>
    <col width="16.7109375" customWidth="1" min="21" max="21"/>
  </cols>
  <sheetData>
    <row r="1" ht="25.5" customHeight="1">
      <c r="A1" s="49" t="inlineStr">
        <is>
          <t>Sector BG</t>
        </is>
      </c>
      <c r="C1" s="49" t="inlineStr">
        <is>
          <t>Segmento</t>
        </is>
      </c>
      <c r="E1" s="49" t="inlineStr">
        <is>
          <t>Canal de gestión</t>
        </is>
      </c>
      <c r="G1" s="49" t="inlineStr">
        <is>
          <t>Etapa</t>
        </is>
      </c>
      <c r="I1" s="49" t="inlineStr">
        <is>
          <t>Tipo de sistema fotovoltaico</t>
        </is>
      </c>
      <c r="J1" s="49" t="inlineStr">
        <is>
          <t>Definición</t>
        </is>
      </c>
      <c r="L1" s="49" t="inlineStr">
        <is>
          <t>Propietario del sistema</t>
        </is>
      </c>
      <c r="N1" s="49" t="inlineStr">
        <is>
          <t>Factor de emisión
(t CO2/MWh)</t>
        </is>
      </c>
      <c r="O1" s="49" t="inlineStr">
        <is>
          <t>Tipo de proyecto</t>
        </is>
      </c>
      <c r="Q1" s="49" t="inlineStr">
        <is>
          <t>Cumplimiento</t>
        </is>
      </c>
      <c r="S1" s="49" t="inlineStr">
        <is>
          <t>Estado documento</t>
        </is>
      </c>
      <c r="U1" s="49" t="inlineStr">
        <is>
          <t>Unidad combustible</t>
        </is>
      </c>
    </row>
    <row r="2" ht="38.25" customHeight="1">
      <c r="A2" s="7" t="inlineStr">
        <is>
          <t>AGROPECUARIO</t>
        </is>
      </c>
      <c r="C2" s="7" t="inlineStr">
        <is>
          <t>Corporativo</t>
        </is>
      </c>
      <c r="E2" s="7" t="inlineStr">
        <is>
          <t>Visita</t>
        </is>
      </c>
      <c r="G2" s="7" t="inlineStr">
        <is>
          <t>Prefactibilidad</t>
        </is>
      </c>
      <c r="I2" s="9" t="inlineStr">
        <is>
          <t>Conectado a la red (SFCR)</t>
        </is>
      </c>
      <c r="J2" s="8" t="inlineStr">
        <is>
          <t>Transforma la energía solar en electricidad y la inyecta total o parcialmente a la red de distribución eléctrica pública, operando en paralelo con ella y sin capacidad de almacenamiento propio.</t>
        </is>
      </c>
      <c r="L2" s="7" t="inlineStr">
        <is>
          <t>Cliente</t>
        </is>
      </c>
      <c r="N2" s="171" t="n">
        <v>0.4922</v>
      </c>
      <c r="O2" s="8" t="inlineStr">
        <is>
          <t>Ex Post</t>
        </is>
      </c>
      <c r="Q2" s="8" t="inlineStr">
        <is>
          <t>SI</t>
        </is>
      </c>
      <c r="S2" s="8" t="inlineStr">
        <is>
          <t>Pendiente</t>
        </is>
      </c>
      <c r="U2" s="8" t="inlineStr">
        <is>
          <t>gal/año</t>
        </is>
      </c>
    </row>
    <row r="3" ht="38.25" customHeight="1">
      <c r="A3" s="7" t="inlineStr">
        <is>
          <t>ALOJAMIENTO, COMIDA &amp; OCIO</t>
        </is>
      </c>
      <c r="C3" s="7" t="inlineStr">
        <is>
          <t>Empresarial</t>
        </is>
      </c>
      <c r="E3" s="7" t="inlineStr">
        <is>
          <t>Llamada/reunión virtual</t>
        </is>
      </c>
      <c r="G3" s="7" t="inlineStr">
        <is>
          <t>Factibilidad</t>
        </is>
      </c>
      <c r="I3" s="9" t="inlineStr">
        <is>
          <t>Autónomo (SFA)</t>
        </is>
      </c>
      <c r="J3" s="8" t="inlineStr">
        <is>
          <t>Opera de forma independiente a la red eléctrica pública, abasteciendo cargas aisladas mediante generación fotovoltaica con almacenamiento en baterías. Típico en zonas sin acceso a red.</t>
        </is>
      </c>
      <c r="L3" s="7" t="inlineStr">
        <is>
          <t>Tercero</t>
        </is>
      </c>
      <c r="N3" s="171" t="n">
        <v>0.4567</v>
      </c>
      <c r="O3" s="8" t="inlineStr">
        <is>
          <t>Ex Ante</t>
        </is>
      </c>
      <c r="Q3" s="18" t="inlineStr">
        <is>
          <t>NO</t>
        </is>
      </c>
      <c r="S3" s="8" t="inlineStr">
        <is>
          <t>Recibido</t>
        </is>
      </c>
      <c r="U3" s="8" t="inlineStr">
        <is>
          <t>kg/año</t>
        </is>
      </c>
    </row>
    <row r="4" ht="63" customHeight="1">
      <c r="A4" s="7" t="inlineStr">
        <is>
          <t>ARROZ</t>
        </is>
      </c>
      <c r="C4" s="7" t="inlineStr">
        <is>
          <t>PYME</t>
        </is>
      </c>
      <c r="E4" s="7" t="inlineStr">
        <is>
          <t>Correo electrónico</t>
        </is>
      </c>
      <c r="G4" s="7" t="inlineStr">
        <is>
          <t>Ejecución</t>
        </is>
      </c>
      <c r="I4" s="9" t="inlineStr">
        <is>
          <t>Híbrido (SFH)</t>
        </is>
      </c>
      <c r="J4" s="8" t="inlineStr">
        <is>
          <t>Combina la generación fotovoltaica con una o más fuentes de generación adicionales (baterías, generador diésel, eólico, etc.), pudiendo estar o no conectado a la red, con el objetivo de garantizar continuidad y optimizar el suministro.</t>
        </is>
      </c>
      <c r="N4" s="141" t="inlineStr">
        <is>
          <t>Fuente: Tabla No. 18 del Informe 2024 del Factor de Emisión de CO2 del Sistema Nacional Interconectado del Ecuador</t>
        </is>
      </c>
      <c r="O4" s="172" t="n"/>
      <c r="P4" s="12" t="n"/>
      <c r="S4" s="8" t="inlineStr">
        <is>
          <t>No aplica</t>
        </is>
      </c>
    </row>
    <row r="5">
      <c r="A5" s="7" t="inlineStr">
        <is>
          <t>BANANO</t>
        </is>
      </c>
      <c r="G5" s="7" t="inlineStr">
        <is>
          <t>Operación</t>
        </is>
      </c>
    </row>
    <row r="6">
      <c r="A6" s="7" t="inlineStr">
        <is>
          <t>CACAO</t>
        </is>
      </c>
    </row>
    <row r="7">
      <c r="A7" s="7" t="inlineStr">
        <is>
          <t>CAMARÓN</t>
        </is>
      </c>
    </row>
    <row r="8">
      <c r="A8" s="7" t="inlineStr">
        <is>
          <t>COMERCIO ELECTRODOMÉSTICOS</t>
        </is>
      </c>
    </row>
    <row r="9">
      <c r="A9" s="7" t="inlineStr">
        <is>
          <t>COMERCIO EN GENERAL</t>
        </is>
      </c>
    </row>
    <row r="10">
      <c r="A10" s="7" t="inlineStr">
        <is>
          <t>CONSTRUCCIÓN</t>
        </is>
      </c>
    </row>
    <row r="11">
      <c r="A11" s="7" t="inlineStr">
        <is>
          <t>INDUSTRIA ALIMENTICIA</t>
        </is>
      </c>
    </row>
    <row r="12">
      <c r="A12" s="7" t="inlineStr">
        <is>
          <t>INDUSTRIA DE LA PESCA</t>
        </is>
      </c>
    </row>
    <row r="13">
      <c r="A13" s="7" t="inlineStr">
        <is>
          <t>INDUSTRIA FARMACÉUTICA</t>
        </is>
      </c>
    </row>
    <row r="14">
      <c r="A14" s="7" t="inlineStr">
        <is>
          <t>INDUSTRIA FLORÍCOLA</t>
        </is>
      </c>
    </row>
    <row r="15">
      <c r="A15" s="7" t="inlineStr">
        <is>
          <t>INDUSTRIAS MANUFACTURERAS</t>
        </is>
      </c>
    </row>
    <row r="16">
      <c r="A16" s="7" t="inlineStr">
        <is>
          <t>INSUMOS AGRÍCOLAS</t>
        </is>
      </c>
    </row>
    <row r="17">
      <c r="A17" s="7" t="inlineStr">
        <is>
          <t>LOGÍSTICA Y TRANSPORTE</t>
        </is>
      </c>
      <c r="G17" s="23" t="n"/>
    </row>
    <row r="18">
      <c r="A18" s="7" t="inlineStr">
        <is>
          <t>MINAS</t>
        </is>
      </c>
    </row>
    <row r="19">
      <c r="A19" s="7" t="inlineStr">
        <is>
          <t>PETRÓLEO</t>
        </is>
      </c>
    </row>
    <row r="20">
      <c r="A20" s="7" t="inlineStr">
        <is>
          <t>SERVICIOS ESENCIALES</t>
        </is>
      </c>
    </row>
    <row r="21">
      <c r="A21" s="7" t="inlineStr">
        <is>
          <t>SERVICIOS FINANCIEROS</t>
        </is>
      </c>
    </row>
    <row r="22">
      <c r="A22" s="7" t="inlineStr">
        <is>
          <t>TELECOMUNICACIONES</t>
        </is>
      </c>
    </row>
    <row r="23">
      <c r="A23" s="7" t="inlineStr">
        <is>
          <t>VEHÍCULOS</t>
        </is>
      </c>
    </row>
  </sheetData>
  <mergeCells count="1">
    <mergeCell ref="N4:O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2026-04-23T18:55:08Z</dcterms:created>
  <dcterms:modified xmlns:dcterms="http://purl.org/dc/terms/" xmlns:xsi="http://www.w3.org/2001/XMLSchema-instance" xsi:type="dcterms:W3CDTF">2026-05-15T03:27:11Z</dcterms:modified>
  <cp:lastModifiedBy>Oswaldo Alejandro Borja Goyes</cp:lastModifiedBy>
</cp:coreProperties>
</file>