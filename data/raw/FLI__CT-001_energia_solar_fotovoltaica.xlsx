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ancoguayaquil1-my.sharepoint.com/personal/acazco_bancoguayaquil_com/Documents/GOB_COPORATIVO/CREDITO TERRA Y BONOS/Crédito Terra/3. Documentacion/plantillas_vacias/"/>
    </mc:Choice>
  </mc:AlternateContent>
  <xr:revisionPtr revIDLastSave="1391" documentId="13_ncr:1_{A886BB5E-41D6-4C3E-989C-75C85D8E3C82}" xr6:coauthVersionLast="47" xr6:coauthVersionMax="47" xr10:uidLastSave="{B2A12FDD-480A-4590-A12F-3DD3FBC74002}"/>
  <bookViews>
    <workbookView xWindow="20370" yWindow="-120" windowWidth="29040" windowHeight="15840" xr2:uid="{00000000-000D-0000-FFFF-FFFF00000000}"/>
  </bookViews>
  <sheets>
    <sheet name="FLI CT-001" sheetId="1" r:id="rId1"/>
    <sheet name="listas_desplegables" sheetId="3" r:id="rId2"/>
  </sheets>
  <definedNames>
    <definedName name="_xlnm._FilterDatabase" localSheetId="1" hidden="1">listas_desplegables!$I$17:$I$39</definedName>
    <definedName name="_xlnm.Extract" localSheetId="1">listas_desplegables!$I$17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H48" i="1"/>
  <c r="H46" i="1"/>
  <c r="E48" i="1"/>
  <c r="E58" i="1"/>
  <c r="E49" i="1"/>
  <c r="E50" i="1" s="1"/>
  <c r="E46" i="1"/>
  <c r="E41" i="1"/>
  <c r="F41" i="1"/>
  <c r="E51" i="1" l="1"/>
  <c r="E52" i="1" s="1"/>
</calcChain>
</file>

<file path=xl/sharedStrings.xml><?xml version="1.0" encoding="utf-8"?>
<sst xmlns="http://schemas.openxmlformats.org/spreadsheetml/2006/main" count="239" uniqueCount="180">
  <si>
    <t>Campo</t>
  </si>
  <si>
    <t>RUC / Cédula</t>
  </si>
  <si>
    <t>Razón social</t>
  </si>
  <si>
    <t>Respuesta</t>
  </si>
  <si>
    <t>Observaciones</t>
  </si>
  <si>
    <t>Parámetro</t>
  </si>
  <si>
    <t>Valor</t>
  </si>
  <si>
    <t>Unidad</t>
  </si>
  <si>
    <t>MWh/año</t>
  </si>
  <si>
    <t>%</t>
  </si>
  <si>
    <t>Vida útil estimada del sistema</t>
  </si>
  <si>
    <t>años</t>
  </si>
  <si>
    <t>Indicador</t>
  </si>
  <si>
    <t>Referencia metodológica</t>
  </si>
  <si>
    <t>Dato declarado por el cliente</t>
  </si>
  <si>
    <t>Costo total del sistema (CAPEX)</t>
  </si>
  <si>
    <t>Aporte propio del cliente</t>
  </si>
  <si>
    <t>¿Cumple?</t>
  </si>
  <si>
    <t>Documento</t>
  </si>
  <si>
    <t>Estado</t>
  </si>
  <si>
    <t>FICHA DE LEVANTAMIENTO DE INFORMACIÓN</t>
  </si>
  <si>
    <t>FLI CT-001</t>
  </si>
  <si>
    <t>FLI  CT-001 - Crédito Terra: Energía solar fotovoltaica</t>
  </si>
  <si>
    <t>Segmento</t>
  </si>
  <si>
    <t>Corporativo</t>
  </si>
  <si>
    <t>Empresarial</t>
  </si>
  <si>
    <t>PYME</t>
  </si>
  <si>
    <t>Actividad principal</t>
  </si>
  <si>
    <t>Canal de gestión</t>
  </si>
  <si>
    <t>No. Operación</t>
  </si>
  <si>
    <t>0. INFORMACIÓN DEL CLIENTE Y LA GESTIÓN</t>
  </si>
  <si>
    <t>1. INFORMACIÓN DEL CRÉDITO</t>
  </si>
  <si>
    <t>Visita</t>
  </si>
  <si>
    <t>Correo electrónico</t>
  </si>
  <si>
    <t>Llamada/reunión virtual</t>
  </si>
  <si>
    <t>Asesor comercial</t>
  </si>
  <si>
    <t>Actividad que requiere financiamiento</t>
  </si>
  <si>
    <t>2. DATOS GENERALES DEL PROYECTO</t>
  </si>
  <si>
    <t>Etapa</t>
  </si>
  <si>
    <t>Prefactibilidad</t>
  </si>
  <si>
    <t>Factibilidad</t>
  </si>
  <si>
    <t>Ejecución</t>
  </si>
  <si>
    <t>Operación</t>
  </si>
  <si>
    <t>Nombre de contacto del cliente</t>
  </si>
  <si>
    <t>Correo de contacto del cliente</t>
  </si>
  <si>
    <t>cliente@empresa.com</t>
  </si>
  <si>
    <t>Tipo de sistema fotovoltaico</t>
  </si>
  <si>
    <t>Conectado a la red (SFCR)</t>
  </si>
  <si>
    <t>Autónomo (SFA)</t>
  </si>
  <si>
    <t>Híbrido (SFH)</t>
  </si>
  <si>
    <t>Transforma la energía solar en electricidad y la inyecta total o parcialmente a la red de distribución eléctrica pública, operando en paralelo con ella y sin capacidad de almacenamiento propio.</t>
  </si>
  <si>
    <t>Opera de forma independiente a la red eléctrica pública, abasteciendo cargas aisladas mediante generación fotovoltaica con almacenamiento en baterías. Típico en zonas sin acceso a red.</t>
  </si>
  <si>
    <t>Combina la generación fotovoltaica con una o más fuentes de generación adicionales (baterías, generador diésel, eólico, etc.), pudiendo estar o no conectado a la red, con el objetivo de garantizar continuidad y optimizar el suministro.</t>
  </si>
  <si>
    <t>Definición</t>
  </si>
  <si>
    <t>Destino del crédito resumido</t>
  </si>
  <si>
    <t>Propietario del sistema</t>
  </si>
  <si>
    <t>Cliente</t>
  </si>
  <si>
    <t>Tercero</t>
  </si>
  <si>
    <t>3. PARÁMETROS TÉCNICOS CLAVE</t>
  </si>
  <si>
    <t>5. DATOS FINANCIEROS DEL PROYECTO</t>
  </si>
  <si>
    <t>Cantidad de energía renovable producida por año</t>
  </si>
  <si>
    <t>Cantidad de emisiones de GEI evitadas por año</t>
  </si>
  <si>
    <t>Código Crédito Terra</t>
  </si>
  <si>
    <t>04 ER. 1</t>
  </si>
  <si>
    <t>tCO₂/año</t>
  </si>
  <si>
    <t>tCO₂/MWh</t>
  </si>
  <si>
    <t>Ex Ante</t>
  </si>
  <si>
    <t>Tipo de proyecto</t>
  </si>
  <si>
    <t>Ex Post</t>
  </si>
  <si>
    <t>Fuente: Tabla No. 18 del Informe 2024 del Factor de Emisión de CO2 del Sistema Nacional Interconectado del Ecuador</t>
  </si>
  <si>
    <t>Factor de emisión
(t CO2/MWh)</t>
  </si>
  <si>
    <t>Informe 2024 del Factor de Emisión de CO2 del Sistema Nacional Interconectado del Ecuador</t>
  </si>
  <si>
    <t>Factor de emisión del SNI para el proyecto</t>
  </si>
  <si>
    <t>Responsable del levantamiento de ficha</t>
  </si>
  <si>
    <t>7. DOCUMENTACIÓN A SOLICITAR AL CLIENTE</t>
  </si>
  <si>
    <t>8. OBSERVACIONES Y PRÓXIMOS PASOS</t>
  </si>
  <si>
    <t>Llenar acorde al siguiente código de colores:</t>
  </si>
  <si>
    <t>Completar con la información correspondiente.</t>
  </si>
  <si>
    <t>Seleccionar de la lista desplegable.</t>
  </si>
  <si>
    <t>US$</t>
  </si>
  <si>
    <t>Ahorro estimado en factura eléctrica por año</t>
  </si>
  <si>
    <t>US$/año</t>
  </si>
  <si>
    <t>US$/kWh</t>
  </si>
  <si>
    <t>Tarifa eléctrica actual pagada por año</t>
  </si>
  <si>
    <t>Período de retorno simple</t>
  </si>
  <si>
    <t>Monto del crédito solicitado al Banco (US$)</t>
  </si>
  <si>
    <t>Monto del crédito solicitado al Banco</t>
  </si>
  <si>
    <t>Energía Renovable</t>
  </si>
  <si>
    <t>Cumplimiento</t>
  </si>
  <si>
    <r>
      <t xml:space="preserve">6. VERIFICACIÓN DE CRITERIOS DE ELEGIBILIDAD
</t>
    </r>
    <r>
      <rPr>
        <sz val="10"/>
        <color rgb="FFFFFFFF"/>
        <rFont val="Verdana"/>
        <family val="2"/>
      </rPr>
      <t>(seleccionar en la lista)</t>
    </r>
  </si>
  <si>
    <t>¿Existe evidencia objetiva del proyecto (p. ej.: informe técnico con la descripción del proyecto, evidencia objetiva de su aplicación, indicadores ambientales)?</t>
  </si>
  <si>
    <r>
      <t xml:space="preserve">Canal de gestión
</t>
    </r>
    <r>
      <rPr>
        <sz val="8"/>
        <color rgb="FF333333"/>
        <rFont val="Verdana"/>
        <family val="2"/>
      </rPr>
      <t>(seleccionar en la lista)</t>
    </r>
  </si>
  <si>
    <r>
      <t xml:space="preserve">Segmento del cliente
</t>
    </r>
    <r>
      <rPr>
        <sz val="8"/>
        <color rgb="FF333333"/>
        <rFont val="Verdana"/>
        <family val="2"/>
      </rPr>
      <t>(seleccionar en la lista)</t>
    </r>
  </si>
  <si>
    <r>
      <t xml:space="preserve">Fecha de gestión
</t>
    </r>
    <r>
      <rPr>
        <sz val="8"/>
        <color rgb="FF333333"/>
        <rFont val="Verdana"/>
        <family val="2"/>
      </rPr>
      <t>(dd/mm/aaaa)</t>
    </r>
  </si>
  <si>
    <r>
      <t xml:space="preserve">Dirección del proyecto
</t>
    </r>
    <r>
      <rPr>
        <sz val="8"/>
        <color rgb="FF333333"/>
        <rFont val="Verdana"/>
        <family val="2"/>
      </rPr>
      <t>(calles, parroquia, cantón y provincia)</t>
    </r>
  </si>
  <si>
    <r>
      <t xml:space="preserve">Coordenada referencial del proyecto  - EJE X
</t>
    </r>
    <r>
      <rPr>
        <sz val="8"/>
        <color rgb="FF333333"/>
        <rFont val="Verdana"/>
        <family val="2"/>
      </rPr>
      <t>(UTM WGS 84 17 S)</t>
    </r>
  </si>
  <si>
    <r>
      <t xml:space="preserve">Coordenada referencial del proyecto - EJE Y
</t>
    </r>
    <r>
      <rPr>
        <sz val="8"/>
        <color rgb="FF333333"/>
        <rFont val="Verdana"/>
        <family val="2"/>
      </rPr>
      <t>(UTM WGS 84 17 S)</t>
    </r>
  </si>
  <si>
    <r>
      <t xml:space="preserve">Etapa
</t>
    </r>
    <r>
      <rPr>
        <sz val="8"/>
        <color rgb="FF333333"/>
        <rFont val="Verdana"/>
        <family val="2"/>
      </rPr>
      <t>(seleccionar en la lista)</t>
    </r>
  </si>
  <si>
    <r>
      <t xml:space="preserve">Fecha estimada de puesta en marcha
</t>
    </r>
    <r>
      <rPr>
        <sz val="8"/>
        <color rgb="FF333333"/>
        <rFont val="Verdana"/>
        <family val="2"/>
      </rPr>
      <t>(solo si aplica)</t>
    </r>
  </si>
  <si>
    <r>
      <t xml:space="preserve">Tipo de sistema fotovoltaico
</t>
    </r>
    <r>
      <rPr>
        <sz val="8"/>
        <color rgb="FF333333"/>
        <rFont val="Verdana"/>
        <family val="2"/>
      </rPr>
      <t>(seleccionar en la lista)</t>
    </r>
  </si>
  <si>
    <r>
      <t xml:space="preserve">Propietario del sistema
</t>
    </r>
    <r>
      <rPr>
        <sz val="8"/>
        <color rgb="FF333333"/>
        <rFont val="Verdana"/>
        <family val="2"/>
      </rPr>
      <t>(seleccionar en la lista)</t>
    </r>
  </si>
  <si>
    <t>Pregunta</t>
  </si>
  <si>
    <t>¿El proyecto o las actividades del cliente solicitante cumplen con la normativa nacional ambiental o social aplicable?</t>
  </si>
  <si>
    <r>
      <t xml:space="preserve">¿El proyecto o las actividades del cliente solicitante NO son consideradas ambiental y socialmente como Categoría A, según las normas del IFC?
</t>
    </r>
    <r>
      <rPr>
        <sz val="8"/>
        <color rgb="FF333333"/>
        <rFont val="Verdana"/>
        <family val="2"/>
      </rPr>
      <t>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</r>
  </si>
  <si>
    <t>¿El monto solicitado al Banco será empleado exclusivamente para el desarrollo del proyecto verde?</t>
  </si>
  <si>
    <t>¿El proyecto o el cliente solicitante no se encuentra involucrado en controversias sociales y ambientales por impactos negativos?</t>
  </si>
  <si>
    <t>¿El proyecto NO involucra combustibles fósiles, incluyendo: tecnologías de carbón refinado o alternativo; proyectos de conversión de gas a líquido; y proyectos de gas natural?</t>
  </si>
  <si>
    <t>¿El proyecto NO produce impactos negativos significativos sobre otros objetivos ambientales?</t>
  </si>
  <si>
    <t>¿El proyecto o la actividad del cliente NO se encuentra en la lista de exclusión del SARAS?</t>
  </si>
  <si>
    <t>¿El crédito solicitado NO corresponde a un préstamo de consumo?</t>
  </si>
  <si>
    <t>Referencia</t>
  </si>
  <si>
    <t>Anexo 3 - Exclusiones generales del Crédito Terra</t>
  </si>
  <si>
    <t>Indicadores ambientales y sociales del Crédito Terra</t>
  </si>
  <si>
    <r>
      <t xml:space="preserve">¿Existen indicadores ambientales del proyecto?
</t>
    </r>
    <r>
      <rPr>
        <sz val="8"/>
        <color rgb="FF333333"/>
        <rFont val="Verdana"/>
        <family val="2"/>
      </rPr>
      <t>Ver sección 4 de la ficha.</t>
    </r>
  </si>
  <si>
    <t>Documentación requerida del Crédito Terra</t>
  </si>
  <si>
    <t>Requisitos generales del Crédito Terra</t>
  </si>
  <si>
    <t>Evidencia y observaciones</t>
  </si>
  <si>
    <t>Fuente o referencia</t>
  </si>
  <si>
    <t>SI</t>
  </si>
  <si>
    <t>NO</t>
  </si>
  <si>
    <t>Estado documento</t>
  </si>
  <si>
    <t>Pendiente</t>
  </si>
  <si>
    <t>Recibido</t>
  </si>
  <si>
    <t>Próximos pasos acordados</t>
  </si>
  <si>
    <t>Fecha acordada de entrega de documentos</t>
  </si>
  <si>
    <t>Firma del responsable del levantamiento de ficha</t>
  </si>
  <si>
    <t>tCO₂</t>
  </si>
  <si>
    <t>No aplica</t>
  </si>
  <si>
    <t>Cantidad de emisiones totales de GEI evitadas al final de la vida útil del sistema</t>
  </si>
  <si>
    <t>4. INDICADORES AMBIENTALES - CRÉDITO TERRA</t>
  </si>
  <si>
    <t>Capacidad instalada del sistema</t>
  </si>
  <si>
    <t>Capacidad instalada (construida o rehabilitada)</t>
  </si>
  <si>
    <t>Unidad combustible</t>
  </si>
  <si>
    <t>gal/año</t>
  </si>
  <si>
    <t>kg/año</t>
  </si>
  <si>
    <t>NA</t>
  </si>
  <si>
    <t>Cálculo: Cantidad de emisiones de GEI evitadas por año * Vida útil estimada del sistema</t>
  </si>
  <si>
    <t>Cálculo: Cantidad de energía renovable producida por año * Factor de emisión del SNI para el proyecto</t>
  </si>
  <si>
    <t>Consumo eléctrico total anual del cliente</t>
  </si>
  <si>
    <t>Cálculo: Cantidad de energía producida por año / Consumo eléctrico total anual del cliente</t>
  </si>
  <si>
    <t>Cálculo o dato automático (no se requiere acción).</t>
  </si>
  <si>
    <t>¿Cumple todos los criterios de elegibilidad del Crédito Terra?</t>
  </si>
  <si>
    <t>Tipo de factor de emisión del SIN para el proyecto</t>
  </si>
  <si>
    <t>-</t>
  </si>
  <si>
    <t>Cálculo: Costo total del sistema (CAPEX) - Monto del crédito solicitado al Banco</t>
  </si>
  <si>
    <t>Sector BG</t>
  </si>
  <si>
    <t>COMERCIO EN GENERAL</t>
  </si>
  <si>
    <t>CONSTRUCCIÓN</t>
  </si>
  <si>
    <t>INDUSTRIAS MANUFACTURERAS</t>
  </si>
  <si>
    <t>VEHÍCULOS</t>
  </si>
  <si>
    <t>LOGÍSTICA Y TRANSPORTE</t>
  </si>
  <si>
    <t>BANANO</t>
  </si>
  <si>
    <t>AGROPECUARIO</t>
  </si>
  <si>
    <t>SERVICIOS ESENCIALES</t>
  </si>
  <si>
    <t>ALOJAMIENTO, COMIDA &amp; OCIO</t>
  </si>
  <si>
    <t>INDUSTRIA ALIMENTICIA</t>
  </si>
  <si>
    <t>COMERCIO ELECTRODOMÉSTICOS</t>
  </si>
  <si>
    <t>TELECOMUNICACIONES</t>
  </si>
  <si>
    <t>INDUSTRIA DE LA PESCA</t>
  </si>
  <si>
    <t>SERVICIOS FINANCIEROS</t>
  </si>
  <si>
    <t>MINAS</t>
  </si>
  <si>
    <t>ARROZ</t>
  </si>
  <si>
    <t>CACAO</t>
  </si>
  <si>
    <t>CAMARÓN</t>
  </si>
  <si>
    <t>INDUSTRIA FARMACÉUTICA</t>
  </si>
  <si>
    <t>INDUSTRIA FLORÍCOLA</t>
  </si>
  <si>
    <t>INSUMOS AGRÍCOLAS</t>
  </si>
  <si>
    <t>PETRÓLEO</t>
  </si>
  <si>
    <t>CIIU 6 de la actividad principal</t>
  </si>
  <si>
    <t>Informe técnico con la descripción del proyecto, incluyendo indicadores ambientales</t>
  </si>
  <si>
    <t>Otra evidencia objetiva de aplicación del proyecto (indicar cuál)</t>
  </si>
  <si>
    <t>kWp</t>
  </si>
  <si>
    <t>Versión: 0</t>
  </si>
  <si>
    <t>Instrucciones de uso de la ficha:</t>
  </si>
  <si>
    <t>Destino aplicable Crédito Terra</t>
  </si>
  <si>
    <r>
      <t xml:space="preserve">Sector BG
</t>
    </r>
    <r>
      <rPr>
        <sz val="8"/>
        <color rgb="FF333333"/>
        <rFont val="Verdana"/>
        <family val="2"/>
      </rPr>
      <t>(seleccionar en la lista)</t>
    </r>
  </si>
  <si>
    <t>Descripción ampliada del proyecto</t>
  </si>
  <si>
    <t>% Cobertura energética</t>
  </si>
  <si>
    <r>
      <t xml:space="preserve">Cantidad de combustible ahorrado por año
</t>
    </r>
    <r>
      <rPr>
        <sz val="8"/>
        <color rgb="FF333333"/>
        <rFont val="Verdana"/>
        <family val="2"/>
      </rPr>
      <t>(seleccionar unidad en la lista desplegable)</t>
    </r>
  </si>
  <si>
    <t>MWp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</si>
</sst>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5" formatCode="_ * #,##0.00_ ;_ * \-#,##0.00_ ;_ * &quot;-&quot;??_ ;_ @_ "/>
    <numFmt numFmtId="166" formatCode="0000000000000"/>
    <numFmt numFmtId="167" formatCode="_ * #,##0.000_ ;_ * \-#,##0.000_ ;_ * &quot;-&quot;???_ ;_ @_ "/>
    <numFmt numFmtId="168" formatCode="&quot;$&quot;#,##0.00"/>
    <numFmt numFmtId="169" formatCode="_-* #,##0.0000_-;\-* #,##0.0000_-;_-* &quot;-&quot;????_-;_-@_-"/>
    <numFmt numFmtId="170" formatCode="_ * #,##0.000_ ;_ * \-#,##0.000_ ;_ * &quot;-&quot;??_ ;_ @_ "/>
    <numFmt numFmtId="171" formatCode="_-* #,##0.0_-;\-* #,##0.0_-;_-* &quot;-&quot;?_-;_-@_-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333333"/>
      <name val="Verdana"/>
      <family val="2"/>
    </font>
    <font>
      <sz val="10"/>
      <color rgb="FF000000"/>
      <name val="Verdana"/>
      <family val="2"/>
    </font>
    <font>
      <i/>
      <sz val="10"/>
      <color rgb="FF999999"/>
      <name val="Verdana"/>
      <family val="2"/>
    </font>
    <font>
      <b/>
      <sz val="10"/>
      <color rgb="FF333333"/>
      <name val="Verdan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i/>
      <sz val="8"/>
      <color theme="1"/>
      <name val="Verdana"/>
      <family val="2"/>
    </font>
    <font>
      <sz val="10"/>
      <color rgb="FFFFFFFF"/>
      <name val="Verdana"/>
      <family val="2"/>
    </font>
    <font>
      <sz val="8"/>
      <color rgb="FF333333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b/>
      <sz val="12"/>
      <color theme="1"/>
      <name val="Verdana"/>
      <family val="2"/>
    </font>
    <font>
      <i/>
      <sz val="10"/>
      <color theme="1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7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vertical="center" wrapText="1"/>
    </xf>
    <xf numFmtId="169" fontId="2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6" fillId="4" borderId="0" xfId="0" applyFont="1" applyFill="1" applyAlignment="1">
      <alignment vertical="center"/>
    </xf>
    <xf numFmtId="0" fontId="2" fillId="5" borderId="0" xfId="0" applyFont="1" applyFill="1"/>
    <xf numFmtId="0" fontId="2" fillId="5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0" borderId="1" xfId="0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top"/>
    </xf>
    <xf numFmtId="0" fontId="3" fillId="0" borderId="4" xfId="0" applyFont="1" applyBorder="1" applyAlignment="1">
      <alignment vertical="center"/>
    </xf>
    <xf numFmtId="0" fontId="17" fillId="5" borderId="0" xfId="0" applyFont="1" applyFill="1"/>
    <xf numFmtId="0" fontId="3" fillId="5" borderId="0" xfId="0" applyFont="1" applyFill="1"/>
    <xf numFmtId="0" fontId="4" fillId="5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Protection="1">
      <protection locked="0"/>
    </xf>
    <xf numFmtId="0" fontId="5" fillId="9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5" fillId="9" borderId="2" xfId="0" applyFont="1" applyFill="1" applyBorder="1" applyAlignment="1" applyProtection="1">
      <alignment horizontal="left" vertical="center" wrapText="1"/>
      <protection locked="0"/>
    </xf>
    <xf numFmtId="0" fontId="5" fillId="9" borderId="3" xfId="0" applyFont="1" applyFill="1" applyBorder="1" applyAlignment="1" applyProtection="1">
      <alignment horizontal="left" vertical="center" wrapText="1"/>
      <protection locked="0"/>
    </xf>
    <xf numFmtId="0" fontId="5" fillId="9" borderId="4" xfId="0" applyFont="1" applyFill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/>
    <xf numFmtId="0" fontId="16" fillId="0" borderId="1" xfId="0" applyFont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70" fontId="4" fillId="10" borderId="2" xfId="0" applyNumberFormat="1" applyFont="1" applyFill="1" applyBorder="1" applyAlignment="1">
      <alignment horizontal="right" vertical="center" wrapText="1"/>
    </xf>
    <xf numFmtId="170" fontId="4" fillId="10" borderId="3" xfId="0" applyNumberFormat="1" applyFont="1" applyFill="1" applyBorder="1" applyAlignment="1">
      <alignment horizontal="right" vertical="center" wrapText="1"/>
    </xf>
    <xf numFmtId="170" fontId="4" fillId="10" borderId="4" xfId="0" applyNumberFormat="1" applyFont="1" applyFill="1" applyBorder="1" applyAlignment="1">
      <alignment horizontal="righ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165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Protection="1"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/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170" fontId="4" fillId="10" borderId="1" xfId="0" applyNumberFormat="1" applyFont="1" applyFill="1" applyBorder="1" applyAlignment="1">
      <alignment horizontal="center" vertical="center" wrapText="1"/>
    </xf>
    <xf numFmtId="167" fontId="5" fillId="0" borderId="2" xfId="0" applyNumberFormat="1" applyFont="1" applyBorder="1" applyAlignment="1" applyProtection="1">
      <alignment horizontal="left" vertical="center" wrapText="1"/>
      <protection locked="0"/>
    </xf>
    <xf numFmtId="167" fontId="5" fillId="0" borderId="3" xfId="0" applyNumberFormat="1" applyFont="1" applyBorder="1" applyAlignment="1" applyProtection="1">
      <alignment horizontal="left" vertical="center" wrapText="1"/>
      <protection locked="0"/>
    </xf>
    <xf numFmtId="167" fontId="5" fillId="0" borderId="4" xfId="0" applyNumberFormat="1" applyFont="1" applyBorder="1" applyAlignment="1" applyProtection="1">
      <alignment horizontal="left" vertical="center" wrapText="1"/>
      <protection locked="0"/>
    </xf>
    <xf numFmtId="49" fontId="5" fillId="0" borderId="2" xfId="0" applyNumberFormat="1" applyFont="1" applyBorder="1" applyAlignment="1" applyProtection="1">
      <alignment horizontal="left" vertical="center" wrapText="1"/>
      <protection locked="0"/>
    </xf>
    <xf numFmtId="49" fontId="5" fillId="0" borderId="3" xfId="0" applyNumberFormat="1" applyFont="1" applyBorder="1" applyAlignment="1" applyProtection="1">
      <alignment horizontal="left" vertical="center" wrapText="1"/>
      <protection locked="0"/>
    </xf>
    <xf numFmtId="49" fontId="5" fillId="0" borderId="4" xfId="0" applyNumberFormat="1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49" fontId="5" fillId="4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/>
    <xf numFmtId="14" fontId="2" fillId="0" borderId="1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 applyProtection="1">
      <alignment horizontal="left" vertical="center" wrapText="1"/>
      <protection locked="0"/>
    </xf>
    <xf numFmtId="0" fontId="2" fillId="11" borderId="2" xfId="0" applyFont="1" applyFill="1" applyBorder="1" applyAlignment="1" applyProtection="1">
      <alignment horizontal="center" vertical="center"/>
      <protection locked="0"/>
    </xf>
    <xf numFmtId="0" fontId="2" fillId="11" borderId="3" xfId="0" applyFont="1" applyFill="1" applyBorder="1" applyAlignment="1" applyProtection="1">
      <alignment horizontal="center" vertical="center"/>
      <protection locked="0"/>
    </xf>
    <xf numFmtId="0" fontId="2" fillId="11" borderId="4" xfId="0" applyFont="1" applyFill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right" vertical="center" wrapText="1"/>
      <protection locked="0"/>
    </xf>
    <xf numFmtId="165" fontId="4" fillId="0" borderId="1" xfId="0" applyNumberFormat="1" applyFont="1" applyBorder="1" applyAlignment="1" applyProtection="1">
      <alignment horizontal="center" vertical="center" wrapText="1"/>
      <protection locked="0"/>
    </xf>
    <xf numFmtId="10" fontId="4" fillId="10" borderId="1" xfId="1" applyNumberFormat="1" applyFont="1" applyFill="1" applyBorder="1" applyAlignment="1">
      <alignment horizontal="right" vertical="center" wrapText="1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 vertical="center" wrapText="1"/>
      <protection locked="0"/>
    </xf>
    <xf numFmtId="14" fontId="5" fillId="0" borderId="4" xfId="0" applyNumberFormat="1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168" fontId="5" fillId="0" borderId="1" xfId="0" applyNumberFormat="1" applyFont="1" applyBorder="1" applyAlignment="1" applyProtection="1">
      <alignment horizontal="right" vertical="center" wrapText="1"/>
      <protection locked="0"/>
    </xf>
    <xf numFmtId="168" fontId="2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49" fontId="5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5" borderId="1" xfId="0" applyNumberFormat="1" applyFont="1" applyFill="1" applyBorder="1" applyAlignment="1" applyProtection="1">
      <alignment horizontal="left"/>
      <protection locked="0"/>
    </xf>
    <xf numFmtId="166" fontId="5" fillId="5" borderId="1" xfId="0" applyNumberFormat="1" applyFont="1" applyFill="1" applyBorder="1" applyAlignment="1" applyProtection="1">
      <alignment horizontal="left" vertical="center" wrapText="1"/>
      <protection locked="0"/>
    </xf>
    <xf numFmtId="166" fontId="2" fillId="5" borderId="1" xfId="0" applyNumberFormat="1" applyFont="1" applyFill="1" applyBorder="1" applyAlignment="1" applyProtection="1">
      <alignment horizontal="left"/>
      <protection locked="0"/>
    </xf>
    <xf numFmtId="49" fontId="10" fillId="0" borderId="2" xfId="2" applyNumberFormat="1" applyFont="1" applyBorder="1" applyAlignment="1" applyProtection="1">
      <alignment horizontal="left" vertical="center"/>
      <protection locked="0"/>
    </xf>
    <xf numFmtId="49" fontId="2" fillId="0" borderId="3" xfId="0" applyNumberFormat="1" applyFont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49" fontId="2" fillId="5" borderId="3" xfId="2" applyNumberFormat="1" applyFont="1" applyFill="1" applyBorder="1" applyAlignment="1" applyProtection="1">
      <alignment horizontal="left" vertical="center" wrapText="1"/>
      <protection locked="0"/>
    </xf>
    <xf numFmtId="49" fontId="2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2" fillId="5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168" fontId="2" fillId="0" borderId="2" xfId="0" applyNumberFormat="1" applyFont="1" applyBorder="1" applyAlignment="1" applyProtection="1">
      <alignment horizontal="right" vertical="center"/>
      <protection locked="0"/>
    </xf>
    <xf numFmtId="168" fontId="2" fillId="0" borderId="3" xfId="0" applyNumberFormat="1" applyFont="1" applyBorder="1" applyAlignment="1" applyProtection="1">
      <alignment horizontal="right" vertical="center"/>
      <protection locked="0"/>
    </xf>
    <xf numFmtId="168" fontId="2" fillId="0" borderId="4" xfId="0" applyNumberFormat="1" applyFont="1" applyBorder="1" applyAlignment="1" applyProtection="1">
      <alignment horizontal="right" vertical="center"/>
      <protection locked="0"/>
    </xf>
    <xf numFmtId="168" fontId="2" fillId="10" borderId="2" xfId="0" applyNumberFormat="1" applyFont="1" applyFill="1" applyBorder="1" applyAlignment="1">
      <alignment horizontal="right" vertical="center"/>
    </xf>
    <xf numFmtId="168" fontId="2" fillId="10" borderId="3" xfId="0" applyNumberFormat="1" applyFont="1" applyFill="1" applyBorder="1" applyAlignment="1">
      <alignment horizontal="right" vertical="center"/>
    </xf>
    <xf numFmtId="168" fontId="2" fillId="10" borderId="4" xfId="0" applyNumberFormat="1" applyFont="1" applyFill="1" applyBorder="1" applyAlignment="1">
      <alignment horizontal="right" vertical="center"/>
    </xf>
    <xf numFmtId="0" fontId="2" fillId="10" borderId="3" xfId="0" applyFont="1" applyFill="1" applyBorder="1" applyAlignment="1">
      <alignment horizontal="right" vertical="center"/>
    </xf>
    <xf numFmtId="0" fontId="2" fillId="10" borderId="4" xfId="0" applyFont="1" applyFill="1" applyBorder="1" applyAlignment="1">
      <alignment horizontal="right" vertical="center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171" fontId="2" fillId="0" borderId="2" xfId="0" applyNumberFormat="1" applyFont="1" applyBorder="1" applyAlignment="1" applyProtection="1">
      <alignment horizontal="center"/>
      <protection locked="0"/>
    </xf>
    <xf numFmtId="171" fontId="2" fillId="0" borderId="3" xfId="0" applyNumberFormat="1" applyFont="1" applyBorder="1" applyAlignment="1" applyProtection="1">
      <alignment horizontal="center"/>
      <protection locked="0"/>
    </xf>
    <xf numFmtId="171" fontId="2" fillId="0" borderId="4" xfId="0" applyNumberFormat="1" applyFont="1" applyBorder="1" applyAlignment="1" applyProtection="1">
      <alignment horizontal="center"/>
      <protection locked="0"/>
    </xf>
    <xf numFmtId="165" fontId="4" fillId="10" borderId="2" xfId="0" applyNumberFormat="1" applyFont="1" applyFill="1" applyBorder="1" applyAlignment="1">
      <alignment horizontal="right" vertical="center" wrapText="1"/>
    </xf>
    <xf numFmtId="165" fontId="4" fillId="10" borderId="3" xfId="0" applyNumberFormat="1" applyFont="1" applyFill="1" applyBorder="1" applyAlignment="1">
      <alignment horizontal="right" vertical="center" wrapText="1"/>
    </xf>
    <xf numFmtId="165" fontId="4" fillId="10" borderId="4" xfId="0" applyNumberFormat="1" applyFont="1" applyFill="1" applyBorder="1" applyAlignment="1">
      <alignment horizontal="right" vertical="center" wrapText="1"/>
    </xf>
    <xf numFmtId="168" fontId="2" fillId="10" borderId="2" xfId="0" applyNumberFormat="1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002060"/>
      <color rgb="FFD2006E"/>
      <color rgb="FFFFB9DE"/>
      <color rgb="FFFF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2295525</xdr:colOff>
      <xdr:row>0</xdr:row>
      <xdr:rowOff>460375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9C1A8-7175-D7BD-B99D-C392E745D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28575"/>
          <a:ext cx="1504950" cy="431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liente@empre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128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 x14ac:dyDescent="0.25"/>
  <cols>
    <col min="1" max="1" width="3" customWidth="1"/>
    <col min="2" max="2" width="41.42578125" bestFit="1" customWidth="1"/>
    <col min="3" max="6" width="10" customWidth="1"/>
    <col min="7" max="7" width="32.5703125" customWidth="1"/>
    <col min="8" max="9" width="10" customWidth="1"/>
    <col min="10" max="12" width="14" customWidth="1"/>
    <col min="13" max="13" width="5.7109375" customWidth="1"/>
    <col min="14" max="16384" width="9.140625" hidden="1"/>
  </cols>
  <sheetData>
    <row r="1" spans="1:13" ht="41.25" customHeight="1" x14ac:dyDescent="0.25">
      <c r="A1" s="14"/>
      <c r="B1" s="116"/>
      <c r="C1" s="116"/>
      <c r="D1" s="116"/>
      <c r="E1" s="31" t="s">
        <v>20</v>
      </c>
      <c r="F1" s="31"/>
      <c r="G1" s="31"/>
      <c r="H1" s="31"/>
      <c r="I1" s="31"/>
      <c r="J1" s="31" t="s">
        <v>21</v>
      </c>
      <c r="K1" s="31"/>
      <c r="L1" s="24" t="s">
        <v>172</v>
      </c>
      <c r="M1" s="14"/>
    </row>
    <row r="2" spans="1:13" ht="33.75" customHeight="1" x14ac:dyDescent="0.25">
      <c r="A2" s="14"/>
      <c r="B2" s="31" t="s">
        <v>22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14"/>
    </row>
    <row r="3" spans="1:13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25">
      <c r="A4" s="14"/>
      <c r="B4" s="26" t="s">
        <v>173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5">
      <c r="A6" s="14"/>
      <c r="B6" s="25" t="s">
        <v>76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x14ac:dyDescent="0.25">
      <c r="A8" s="14"/>
      <c r="B8" s="15"/>
      <c r="C8" s="97" t="s">
        <v>77</v>
      </c>
      <c r="D8" s="97"/>
      <c r="E8" s="97"/>
      <c r="F8" s="97"/>
      <c r="G8" s="97"/>
      <c r="H8" s="14"/>
      <c r="I8" s="14"/>
      <c r="J8" s="14"/>
      <c r="K8" s="14"/>
      <c r="L8" s="14"/>
      <c r="M8" s="14"/>
    </row>
    <row r="9" spans="1:13" x14ac:dyDescent="0.25">
      <c r="A9" s="14"/>
      <c r="B9" s="16"/>
      <c r="C9" s="97" t="s">
        <v>78</v>
      </c>
      <c r="D9" s="97"/>
      <c r="E9" s="97"/>
      <c r="F9" s="97"/>
      <c r="G9" s="97"/>
      <c r="H9" s="14"/>
      <c r="I9" s="14"/>
      <c r="J9" s="14"/>
      <c r="K9" s="14"/>
      <c r="L9" s="14"/>
      <c r="M9" s="14"/>
    </row>
    <row r="10" spans="1:13" x14ac:dyDescent="0.25">
      <c r="A10" s="14"/>
      <c r="B10" s="17"/>
      <c r="C10" s="97" t="s">
        <v>140</v>
      </c>
      <c r="D10" s="97"/>
      <c r="E10" s="97"/>
      <c r="F10" s="97"/>
      <c r="G10" s="97"/>
      <c r="H10" s="14"/>
      <c r="I10" s="14"/>
      <c r="J10" s="14"/>
      <c r="K10" s="14"/>
      <c r="L10" s="14"/>
      <c r="M10" s="14"/>
    </row>
    <row r="11" spans="1:13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24.95" customHeight="1" x14ac:dyDescent="0.25">
      <c r="A12" s="14"/>
      <c r="B12" s="61" t="s">
        <v>30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14"/>
    </row>
    <row r="13" spans="1:13" ht="30" customHeight="1" x14ac:dyDescent="0.25">
      <c r="A13" s="14"/>
      <c r="B13" s="2" t="s">
        <v>2</v>
      </c>
      <c r="C13" s="106"/>
      <c r="D13" s="107"/>
      <c r="E13" s="107"/>
      <c r="F13" s="107"/>
      <c r="G13" s="5" t="s">
        <v>44</v>
      </c>
      <c r="H13" s="110" t="s">
        <v>45</v>
      </c>
      <c r="I13" s="111"/>
      <c r="J13" s="111"/>
      <c r="K13" s="111"/>
      <c r="L13" s="112"/>
      <c r="M13" s="14"/>
    </row>
    <row r="14" spans="1:13" ht="30" customHeight="1" x14ac:dyDescent="0.25">
      <c r="A14" s="14"/>
      <c r="B14" s="2" t="s">
        <v>1</v>
      </c>
      <c r="C14" s="108"/>
      <c r="D14" s="109"/>
      <c r="E14" s="109"/>
      <c r="F14" s="109"/>
      <c r="G14" s="6" t="s">
        <v>92</v>
      </c>
      <c r="H14" s="32" t="s">
        <v>24</v>
      </c>
      <c r="I14" s="33"/>
      <c r="J14" s="33"/>
      <c r="K14" s="33"/>
      <c r="L14" s="34"/>
      <c r="M14" s="14"/>
    </row>
    <row r="15" spans="1:13" ht="30" customHeight="1" x14ac:dyDescent="0.25">
      <c r="A15" s="14"/>
      <c r="B15" s="2" t="s">
        <v>27</v>
      </c>
      <c r="C15" s="106"/>
      <c r="D15" s="107"/>
      <c r="E15" s="107"/>
      <c r="F15" s="107"/>
      <c r="G15" s="6" t="s">
        <v>91</v>
      </c>
      <c r="H15" s="32" t="s">
        <v>34</v>
      </c>
      <c r="I15" s="33"/>
      <c r="J15" s="33"/>
      <c r="K15" s="33"/>
      <c r="L15" s="34"/>
      <c r="M15" s="14"/>
    </row>
    <row r="16" spans="1:13" ht="30" customHeight="1" x14ac:dyDescent="0.25">
      <c r="A16" s="14"/>
      <c r="B16" s="2" t="s">
        <v>36</v>
      </c>
      <c r="C16" s="106"/>
      <c r="D16" s="107"/>
      <c r="E16" s="107"/>
      <c r="F16" s="107"/>
      <c r="G16" s="6" t="s">
        <v>93</v>
      </c>
      <c r="H16" s="89"/>
      <c r="I16" s="98"/>
      <c r="J16" s="98"/>
      <c r="K16" s="98"/>
      <c r="L16" s="99"/>
      <c r="M16" s="14"/>
    </row>
    <row r="17" spans="1:13" ht="30" customHeight="1" x14ac:dyDescent="0.25">
      <c r="A17" s="14"/>
      <c r="B17" s="2" t="s">
        <v>175</v>
      </c>
      <c r="C17" s="32" t="s">
        <v>155</v>
      </c>
      <c r="D17" s="33"/>
      <c r="E17" s="33"/>
      <c r="F17" s="34"/>
      <c r="G17" s="6" t="s">
        <v>73</v>
      </c>
      <c r="H17" s="106"/>
      <c r="I17" s="106"/>
      <c r="J17" s="106"/>
      <c r="K17" s="106"/>
      <c r="L17" s="106"/>
      <c r="M17" s="14"/>
    </row>
    <row r="18" spans="1:13" ht="30" customHeight="1" x14ac:dyDescent="0.25">
      <c r="A18" s="14"/>
      <c r="B18" s="2" t="s">
        <v>43</v>
      </c>
      <c r="C18" s="113"/>
      <c r="D18" s="114"/>
      <c r="E18" s="114"/>
      <c r="F18" s="115"/>
      <c r="G18" s="2" t="s">
        <v>168</v>
      </c>
      <c r="H18" s="105"/>
      <c r="I18" s="105"/>
      <c r="J18" s="105"/>
      <c r="K18" s="105"/>
      <c r="L18" s="105"/>
      <c r="M18" s="14"/>
    </row>
    <row r="19" spans="1:13" ht="15.95" customHeight="1" x14ac:dyDescent="0.25">
      <c r="A19" s="14"/>
      <c r="B19" s="1"/>
      <c r="C19" s="1"/>
      <c r="D19" s="1"/>
      <c r="E19" s="1"/>
      <c r="F19" s="1"/>
      <c r="H19" s="1"/>
      <c r="I19" s="1"/>
      <c r="J19" s="1"/>
      <c r="K19" s="1"/>
      <c r="L19" s="1"/>
      <c r="M19" s="14"/>
    </row>
    <row r="20" spans="1:13" ht="24.95" customHeight="1" x14ac:dyDescent="0.25">
      <c r="A20" s="14"/>
      <c r="B20" s="61" t="s">
        <v>31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14"/>
    </row>
    <row r="21" spans="1:13" ht="30" customHeight="1" x14ac:dyDescent="0.25">
      <c r="A21" s="14"/>
      <c r="B21" s="2" t="s">
        <v>29</v>
      </c>
      <c r="C21" s="64"/>
      <c r="D21" s="64"/>
      <c r="E21" s="64"/>
      <c r="F21" s="64"/>
      <c r="G21" s="2" t="s">
        <v>85</v>
      </c>
      <c r="H21" s="103"/>
      <c r="I21" s="104"/>
      <c r="J21" s="104"/>
      <c r="K21" s="104"/>
      <c r="L21" s="104"/>
      <c r="M21" s="14"/>
    </row>
    <row r="22" spans="1:13" ht="30" customHeight="1" x14ac:dyDescent="0.25">
      <c r="A22" s="14"/>
      <c r="B22" s="2" t="s">
        <v>35</v>
      </c>
      <c r="C22" s="100"/>
      <c r="D22" s="101"/>
      <c r="E22" s="101"/>
      <c r="F22" s="102"/>
      <c r="G22" s="2" t="s">
        <v>54</v>
      </c>
      <c r="H22" s="105"/>
      <c r="I22" s="59"/>
      <c r="J22" s="59"/>
      <c r="K22" s="59"/>
      <c r="L22" s="59"/>
      <c r="M22" s="14"/>
    </row>
    <row r="23" spans="1:13" ht="30" customHeight="1" x14ac:dyDescent="0.25">
      <c r="A23" s="14"/>
      <c r="B23" s="2" t="s">
        <v>174</v>
      </c>
      <c r="C23" s="118" t="s">
        <v>87</v>
      </c>
      <c r="D23" s="119"/>
      <c r="E23" s="119"/>
      <c r="F23" s="120"/>
      <c r="G23" s="2" t="s">
        <v>62</v>
      </c>
      <c r="H23" s="117" t="s">
        <v>63</v>
      </c>
      <c r="I23" s="117"/>
      <c r="J23" s="117"/>
      <c r="K23" s="117"/>
      <c r="L23" s="117"/>
      <c r="M23" s="14"/>
    </row>
    <row r="24" spans="1:13" ht="15.9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24.95" customHeight="1" x14ac:dyDescent="0.25">
      <c r="A25" s="14"/>
      <c r="B25" s="61" t="s">
        <v>37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14"/>
    </row>
    <row r="26" spans="1:13" ht="15.95" customHeight="1" x14ac:dyDescent="0.25">
      <c r="A26" s="14"/>
      <c r="B26" s="3" t="s">
        <v>0</v>
      </c>
      <c r="C26" s="67" t="s">
        <v>3</v>
      </c>
      <c r="D26" s="68"/>
      <c r="E26" s="68"/>
      <c r="F26" s="68"/>
      <c r="G26" s="69"/>
      <c r="H26" s="67" t="s">
        <v>4</v>
      </c>
      <c r="I26" s="68"/>
      <c r="J26" s="68"/>
      <c r="K26" s="68"/>
      <c r="L26" s="69"/>
      <c r="M26" s="14"/>
    </row>
    <row r="27" spans="1:13" ht="50.1" customHeight="1" x14ac:dyDescent="0.25">
      <c r="A27" s="14"/>
      <c r="B27" s="2" t="s">
        <v>94</v>
      </c>
      <c r="C27" s="70"/>
      <c r="D27" s="71"/>
      <c r="E27" s="71"/>
      <c r="F27" s="71"/>
      <c r="G27" s="72"/>
      <c r="H27" s="35"/>
      <c r="I27" s="36"/>
      <c r="J27" s="36"/>
      <c r="K27" s="36"/>
      <c r="L27" s="37"/>
      <c r="M27" s="14"/>
    </row>
    <row r="28" spans="1:13" ht="50.1" customHeight="1" x14ac:dyDescent="0.25">
      <c r="A28" s="14"/>
      <c r="B28" s="2" t="s">
        <v>95</v>
      </c>
      <c r="C28" s="74"/>
      <c r="D28" s="75"/>
      <c r="E28" s="75"/>
      <c r="F28" s="75"/>
      <c r="G28" s="76"/>
      <c r="H28" s="35"/>
      <c r="I28" s="36"/>
      <c r="J28" s="36"/>
      <c r="K28" s="36"/>
      <c r="L28" s="37"/>
      <c r="M28" s="14"/>
    </row>
    <row r="29" spans="1:13" ht="50.1" customHeight="1" x14ac:dyDescent="0.25">
      <c r="A29" s="14"/>
      <c r="B29" s="2" t="s">
        <v>96</v>
      </c>
      <c r="C29" s="74"/>
      <c r="D29" s="75"/>
      <c r="E29" s="75"/>
      <c r="F29" s="75"/>
      <c r="G29" s="76"/>
      <c r="H29" s="35"/>
      <c r="I29" s="36"/>
      <c r="J29" s="36"/>
      <c r="K29" s="36"/>
      <c r="L29" s="37"/>
      <c r="M29" s="14"/>
    </row>
    <row r="30" spans="1:13" ht="50.1" customHeight="1" x14ac:dyDescent="0.25">
      <c r="A30" s="14"/>
      <c r="B30" s="2" t="s">
        <v>176</v>
      </c>
      <c r="C30" s="77"/>
      <c r="D30" s="78"/>
      <c r="E30" s="78"/>
      <c r="F30" s="78"/>
      <c r="G30" s="79"/>
      <c r="H30" s="35"/>
      <c r="I30" s="36"/>
      <c r="J30" s="36"/>
      <c r="K30" s="36"/>
      <c r="L30" s="37"/>
      <c r="M30" s="14"/>
    </row>
    <row r="31" spans="1:13" ht="50.1" customHeight="1" x14ac:dyDescent="0.25">
      <c r="A31" s="14"/>
      <c r="B31" s="2" t="s">
        <v>97</v>
      </c>
      <c r="C31" s="32" t="s">
        <v>39</v>
      </c>
      <c r="D31" s="33"/>
      <c r="E31" s="33"/>
      <c r="F31" s="33"/>
      <c r="G31" s="34"/>
      <c r="H31" s="35"/>
      <c r="I31" s="36"/>
      <c r="J31" s="36"/>
      <c r="K31" s="36"/>
      <c r="L31" s="37"/>
      <c r="M31" s="14"/>
    </row>
    <row r="32" spans="1:13" ht="50.1" customHeight="1" x14ac:dyDescent="0.25">
      <c r="A32" s="14"/>
      <c r="B32" s="2" t="s">
        <v>98</v>
      </c>
      <c r="C32" s="89"/>
      <c r="D32" s="71"/>
      <c r="E32" s="71"/>
      <c r="F32" s="71"/>
      <c r="G32" s="72"/>
      <c r="H32" s="35"/>
      <c r="I32" s="36"/>
      <c r="J32" s="36"/>
      <c r="K32" s="36"/>
      <c r="L32" s="37"/>
      <c r="M32" s="14"/>
    </row>
    <row r="33" spans="1:13" ht="50.1" customHeight="1" x14ac:dyDescent="0.25">
      <c r="A33" s="14"/>
      <c r="B33" s="2" t="s">
        <v>99</v>
      </c>
      <c r="C33" s="32" t="s">
        <v>47</v>
      </c>
      <c r="D33" s="33"/>
      <c r="E33" s="33"/>
      <c r="F33" s="33"/>
      <c r="G33" s="34"/>
      <c r="H33" s="90"/>
      <c r="I33" s="91"/>
      <c r="J33" s="91"/>
      <c r="K33" s="91"/>
      <c r="L33" s="92"/>
      <c r="M33" s="14"/>
    </row>
    <row r="34" spans="1:13" ht="50.1" customHeight="1" x14ac:dyDescent="0.25">
      <c r="A34" s="14"/>
      <c r="B34" s="2" t="s">
        <v>100</v>
      </c>
      <c r="C34" s="32" t="s">
        <v>56</v>
      </c>
      <c r="D34" s="33"/>
      <c r="E34" s="33"/>
      <c r="F34" s="33"/>
      <c r="G34" s="34"/>
      <c r="H34" s="35"/>
      <c r="I34" s="36"/>
      <c r="J34" s="36"/>
      <c r="K34" s="36"/>
      <c r="L34" s="37"/>
      <c r="M34" s="14"/>
    </row>
    <row r="35" spans="1:13" ht="15.9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24.95" customHeight="1" x14ac:dyDescent="0.25">
      <c r="A36" s="14"/>
      <c r="B36" s="54" t="s">
        <v>58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14"/>
    </row>
    <row r="37" spans="1:13" ht="15.95" customHeight="1" x14ac:dyDescent="0.25">
      <c r="A37" s="14"/>
      <c r="B37" s="3" t="s">
        <v>5</v>
      </c>
      <c r="C37" s="50" t="s">
        <v>7</v>
      </c>
      <c r="D37" s="50"/>
      <c r="E37" s="50" t="s">
        <v>6</v>
      </c>
      <c r="F37" s="50"/>
      <c r="G37" s="50"/>
      <c r="H37" s="50" t="s">
        <v>117</v>
      </c>
      <c r="I37" s="50"/>
      <c r="J37" s="50"/>
      <c r="K37" s="50"/>
      <c r="L37" s="50"/>
      <c r="M37" s="14"/>
    </row>
    <row r="38" spans="1:13" ht="30" customHeight="1" x14ac:dyDescent="0.25">
      <c r="A38" s="14"/>
      <c r="B38" s="2" t="s">
        <v>60</v>
      </c>
      <c r="C38" s="49" t="s">
        <v>8</v>
      </c>
      <c r="D38" s="49"/>
      <c r="E38" s="94"/>
      <c r="F38" s="94"/>
      <c r="G38" s="94"/>
      <c r="H38" s="60"/>
      <c r="I38" s="60"/>
      <c r="J38" s="60"/>
      <c r="K38" s="60"/>
      <c r="L38" s="60"/>
      <c r="M38" s="14"/>
    </row>
    <row r="39" spans="1:13" ht="30" customHeight="1" x14ac:dyDescent="0.25">
      <c r="A39" s="14"/>
      <c r="B39" s="2" t="s">
        <v>130</v>
      </c>
      <c r="C39" s="49" t="s">
        <v>179</v>
      </c>
      <c r="D39" s="49"/>
      <c r="E39" s="93"/>
      <c r="F39" s="93"/>
      <c r="G39" s="93"/>
      <c r="H39" s="60"/>
      <c r="I39" s="60"/>
      <c r="J39" s="60"/>
      <c r="K39" s="60"/>
      <c r="L39" s="60"/>
      <c r="M39" s="14"/>
    </row>
    <row r="40" spans="1:13" ht="30" customHeight="1" x14ac:dyDescent="0.25">
      <c r="A40" s="14"/>
      <c r="B40" s="2" t="s">
        <v>138</v>
      </c>
      <c r="C40" s="49" t="s">
        <v>8</v>
      </c>
      <c r="D40" s="49"/>
      <c r="E40" s="94"/>
      <c r="F40" s="94"/>
      <c r="G40" s="94"/>
      <c r="H40" s="60"/>
      <c r="I40" s="60"/>
      <c r="J40" s="60"/>
      <c r="K40" s="60"/>
      <c r="L40" s="60"/>
      <c r="M40" s="14"/>
    </row>
    <row r="41" spans="1:13" ht="30" customHeight="1" x14ac:dyDescent="0.25">
      <c r="A41" s="14"/>
      <c r="B41" s="2" t="s">
        <v>177</v>
      </c>
      <c r="C41" s="49" t="s">
        <v>9</v>
      </c>
      <c r="D41" s="49"/>
      <c r="E41" s="95" t="e">
        <f>E38/E40</f>
        <v>#DIV/0!</v>
      </c>
      <c r="F41" s="95" t="str">
        <f>IF(AND(ISNUMBER(F38),ISNUMBER(F40),F40&gt;0),F38/F40,"")</f>
        <v/>
      </c>
      <c r="G41" s="95" t="s">
        <v>9</v>
      </c>
      <c r="H41" s="57" t="s">
        <v>139</v>
      </c>
      <c r="I41" s="57"/>
      <c r="J41" s="57"/>
      <c r="K41" s="57"/>
      <c r="L41" s="57"/>
      <c r="M41" s="14"/>
    </row>
    <row r="42" spans="1:13" ht="30" customHeight="1" x14ac:dyDescent="0.25">
      <c r="A42" s="14"/>
      <c r="B42" s="2" t="s">
        <v>10</v>
      </c>
      <c r="C42" s="49" t="s">
        <v>11</v>
      </c>
      <c r="D42" s="49"/>
      <c r="E42" s="96"/>
      <c r="F42" s="96"/>
      <c r="G42" s="96"/>
      <c r="H42" s="60"/>
      <c r="I42" s="60"/>
      <c r="J42" s="60"/>
      <c r="K42" s="60"/>
      <c r="L42" s="60"/>
      <c r="M42" s="14"/>
    </row>
    <row r="43" spans="1:13" ht="15.9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24.95" customHeight="1" x14ac:dyDescent="0.25">
      <c r="A44" s="14"/>
      <c r="B44" s="54" t="s">
        <v>129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14"/>
    </row>
    <row r="45" spans="1:13" ht="15.95" customHeight="1" x14ac:dyDescent="0.25">
      <c r="A45" s="14"/>
      <c r="B45" s="3" t="s">
        <v>12</v>
      </c>
      <c r="C45" s="50" t="s">
        <v>7</v>
      </c>
      <c r="D45" s="50"/>
      <c r="E45" s="50" t="s">
        <v>6</v>
      </c>
      <c r="F45" s="50"/>
      <c r="G45" s="50"/>
      <c r="H45" s="50" t="s">
        <v>117</v>
      </c>
      <c r="I45" s="50"/>
      <c r="J45" s="50" t="s">
        <v>13</v>
      </c>
      <c r="K45" s="50"/>
      <c r="L45" s="50"/>
      <c r="M45" s="14"/>
    </row>
    <row r="46" spans="1:13" ht="30" customHeight="1" x14ac:dyDescent="0.25">
      <c r="A46" s="14"/>
      <c r="B46" s="10" t="s">
        <v>60</v>
      </c>
      <c r="C46" s="49" t="s">
        <v>8</v>
      </c>
      <c r="D46" s="49"/>
      <c r="E46" s="56">
        <f>E38</f>
        <v>0</v>
      </c>
      <c r="F46" s="56"/>
      <c r="G46" s="56"/>
      <c r="H46" s="57">
        <f>H38</f>
        <v>0</v>
      </c>
      <c r="I46" s="57"/>
      <c r="J46" s="57"/>
      <c r="K46" s="57"/>
      <c r="L46" s="57"/>
      <c r="M46" s="14"/>
    </row>
    <row r="47" spans="1:13" ht="48.75" customHeight="1" x14ac:dyDescent="0.25">
      <c r="A47" s="14"/>
      <c r="B47" s="10" t="s">
        <v>178</v>
      </c>
      <c r="C47" s="41" t="s">
        <v>133</v>
      </c>
      <c r="D47" s="42"/>
      <c r="E47" s="135" t="s">
        <v>135</v>
      </c>
      <c r="F47" s="136"/>
      <c r="G47" s="137"/>
      <c r="H47" s="46" t="s">
        <v>127</v>
      </c>
      <c r="I47" s="47"/>
      <c r="J47" s="47"/>
      <c r="K47" s="47"/>
      <c r="L47" s="48"/>
      <c r="M47" s="14"/>
    </row>
    <row r="48" spans="1:13" ht="30" customHeight="1" x14ac:dyDescent="0.25">
      <c r="A48" s="14"/>
      <c r="B48" s="10" t="s">
        <v>131</v>
      </c>
      <c r="C48" s="41" t="s">
        <v>171</v>
      </c>
      <c r="D48" s="42"/>
      <c r="E48" s="135">
        <f>E39</f>
        <v>0</v>
      </c>
      <c r="F48" s="136"/>
      <c r="G48" s="137"/>
      <c r="H48" s="57">
        <f>H39</f>
        <v>0</v>
      </c>
      <c r="I48" s="57"/>
      <c r="J48" s="57"/>
      <c r="K48" s="57"/>
      <c r="L48" s="57"/>
      <c r="M48" s="14"/>
    </row>
    <row r="49" spans="1:13" ht="30" customHeight="1" x14ac:dyDescent="0.25">
      <c r="A49" s="14"/>
      <c r="B49" s="10" t="s">
        <v>72</v>
      </c>
      <c r="C49" s="49" t="s">
        <v>65</v>
      </c>
      <c r="D49" s="49"/>
      <c r="E49" s="73">
        <f>IF(OR(C31=listas_desplegables!$G$2,C31=listas_desplegables!$G$3,C31=listas_desplegables!$G$4),listas_desplegables!$N$3,listas_desplegables!$N$2)</f>
        <v>0.45669999999999999</v>
      </c>
      <c r="F49" s="73"/>
      <c r="G49" s="73"/>
      <c r="H49" s="57" t="s">
        <v>71</v>
      </c>
      <c r="I49" s="57"/>
      <c r="J49" s="57"/>
      <c r="K49" s="57"/>
      <c r="L49" s="57"/>
      <c r="M49" s="14"/>
    </row>
    <row r="50" spans="1:13" ht="30" customHeight="1" x14ac:dyDescent="0.25">
      <c r="A50" s="14"/>
      <c r="B50" s="10" t="s">
        <v>142</v>
      </c>
      <c r="C50" s="41" t="s">
        <v>143</v>
      </c>
      <c r="D50" s="42"/>
      <c r="E50" s="43" t="str">
        <f>VLOOKUP(E49,listas_desplegables!$N$2:$O$3,2,FALSE)</f>
        <v>Ex Ante</v>
      </c>
      <c r="F50" s="44"/>
      <c r="G50" s="45"/>
      <c r="H50" s="46" t="s">
        <v>71</v>
      </c>
      <c r="I50" s="47"/>
      <c r="J50" s="47"/>
      <c r="K50" s="47"/>
      <c r="L50" s="48"/>
      <c r="M50" s="14"/>
    </row>
    <row r="51" spans="1:13" ht="30" customHeight="1" x14ac:dyDescent="0.25">
      <c r="A51" s="14"/>
      <c r="B51" s="10" t="s">
        <v>61</v>
      </c>
      <c r="C51" s="49" t="s">
        <v>64</v>
      </c>
      <c r="D51" s="49"/>
      <c r="E51" s="56">
        <f>E46*E49</f>
        <v>0</v>
      </c>
      <c r="F51" s="56"/>
      <c r="G51" s="56"/>
      <c r="H51" s="57" t="s">
        <v>137</v>
      </c>
      <c r="I51" s="57"/>
      <c r="J51" s="57"/>
      <c r="K51" s="57"/>
      <c r="L51" s="57"/>
      <c r="M51" s="14"/>
    </row>
    <row r="52" spans="1:13" ht="41.25" customHeight="1" x14ac:dyDescent="0.25">
      <c r="A52" s="14"/>
      <c r="B52" s="10" t="s">
        <v>128</v>
      </c>
      <c r="C52" s="49" t="s">
        <v>126</v>
      </c>
      <c r="D52" s="49"/>
      <c r="E52" s="56">
        <f>E51*E42</f>
        <v>0</v>
      </c>
      <c r="F52" s="56"/>
      <c r="G52" s="56" t="s">
        <v>11</v>
      </c>
      <c r="H52" s="57" t="s">
        <v>136</v>
      </c>
      <c r="I52" s="57"/>
      <c r="J52" s="57"/>
      <c r="K52" s="57"/>
      <c r="L52" s="57"/>
      <c r="M52" s="14"/>
    </row>
    <row r="53" spans="1:13" ht="15.9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24.95" customHeight="1" x14ac:dyDescent="0.25">
      <c r="A54" s="14"/>
      <c r="B54" s="54" t="s">
        <v>59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4"/>
    </row>
    <row r="55" spans="1:13" ht="15.95" customHeight="1" x14ac:dyDescent="0.25">
      <c r="A55" s="14"/>
      <c r="B55" s="3" t="s">
        <v>5</v>
      </c>
      <c r="C55" s="50" t="s">
        <v>7</v>
      </c>
      <c r="D55" s="50"/>
      <c r="E55" s="67" t="s">
        <v>6</v>
      </c>
      <c r="F55" s="68"/>
      <c r="G55" s="69"/>
      <c r="H55" s="50" t="s">
        <v>117</v>
      </c>
      <c r="I55" s="50"/>
      <c r="J55" s="50" t="s">
        <v>13</v>
      </c>
      <c r="K55" s="50"/>
      <c r="L55" s="50"/>
      <c r="M55" s="14"/>
    </row>
    <row r="56" spans="1:13" ht="30" customHeight="1" x14ac:dyDescent="0.25">
      <c r="A56" s="14"/>
      <c r="B56" s="10" t="s">
        <v>15</v>
      </c>
      <c r="C56" s="49" t="s">
        <v>79</v>
      </c>
      <c r="D56" s="49"/>
      <c r="E56" s="121"/>
      <c r="F56" s="122"/>
      <c r="G56" s="123"/>
      <c r="H56" s="51"/>
      <c r="I56" s="52"/>
      <c r="J56" s="52"/>
      <c r="K56" s="52"/>
      <c r="L56" s="53"/>
      <c r="M56" s="14"/>
    </row>
    <row r="57" spans="1:13" ht="30" customHeight="1" x14ac:dyDescent="0.25">
      <c r="A57" s="14"/>
      <c r="B57" s="10" t="s">
        <v>86</v>
      </c>
      <c r="C57" s="49" t="s">
        <v>79</v>
      </c>
      <c r="D57" s="49"/>
      <c r="E57" s="124">
        <v>5200000</v>
      </c>
      <c r="F57" s="125"/>
      <c r="G57" s="126"/>
      <c r="H57" s="138" t="s">
        <v>14</v>
      </c>
      <c r="I57" s="139"/>
      <c r="J57" s="139"/>
      <c r="K57" s="139"/>
      <c r="L57" s="140"/>
      <c r="M57" s="14"/>
    </row>
    <row r="58" spans="1:13" ht="30" customHeight="1" x14ac:dyDescent="0.25">
      <c r="A58" s="14"/>
      <c r="B58" s="10" t="s">
        <v>16</v>
      </c>
      <c r="C58" s="49" t="s">
        <v>79</v>
      </c>
      <c r="D58" s="49"/>
      <c r="E58" s="124">
        <f>E56-E57</f>
        <v>-5200000</v>
      </c>
      <c r="F58" s="127"/>
      <c r="G58" s="128"/>
      <c r="H58" s="118" t="s">
        <v>144</v>
      </c>
      <c r="I58" s="119"/>
      <c r="J58" s="119"/>
      <c r="K58" s="119"/>
      <c r="L58" s="120"/>
      <c r="M58" s="14"/>
    </row>
    <row r="59" spans="1:13" ht="30" customHeight="1" x14ac:dyDescent="0.25">
      <c r="A59" s="14"/>
      <c r="B59" s="10" t="s">
        <v>83</v>
      </c>
      <c r="C59" s="49" t="s">
        <v>82</v>
      </c>
      <c r="D59" s="49"/>
      <c r="E59" s="121"/>
      <c r="F59" s="122"/>
      <c r="G59" s="123"/>
      <c r="H59" s="51"/>
      <c r="I59" s="52"/>
      <c r="J59" s="52"/>
      <c r="K59" s="52"/>
      <c r="L59" s="53"/>
      <c r="M59" s="14"/>
    </row>
    <row r="60" spans="1:13" ht="30" customHeight="1" x14ac:dyDescent="0.25">
      <c r="A60" s="14"/>
      <c r="B60" s="10" t="s">
        <v>80</v>
      </c>
      <c r="C60" s="49" t="s">
        <v>81</v>
      </c>
      <c r="D60" s="49"/>
      <c r="E60" s="129"/>
      <c r="F60" s="130"/>
      <c r="G60" s="131"/>
      <c r="H60" s="51"/>
      <c r="I60" s="52"/>
      <c r="J60" s="52"/>
      <c r="K60" s="52"/>
      <c r="L60" s="53"/>
      <c r="M60" s="14"/>
    </row>
    <row r="61" spans="1:13" ht="30" customHeight="1" x14ac:dyDescent="0.25">
      <c r="A61" s="14"/>
      <c r="B61" s="10" t="s">
        <v>84</v>
      </c>
      <c r="C61" s="49" t="s">
        <v>11</v>
      </c>
      <c r="D61" s="49"/>
      <c r="E61" s="132"/>
      <c r="F61" s="133"/>
      <c r="G61" s="134"/>
      <c r="H61" s="51"/>
      <c r="I61" s="52"/>
      <c r="J61" s="52"/>
      <c r="K61" s="52"/>
      <c r="L61" s="53"/>
      <c r="M61" s="14"/>
    </row>
    <row r="62" spans="1:13" ht="15.9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24.95" customHeight="1" x14ac:dyDescent="0.25">
      <c r="A63" s="14"/>
      <c r="B63" s="80" t="s">
        <v>89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4"/>
    </row>
    <row r="64" spans="1:13" ht="15.95" customHeight="1" x14ac:dyDescent="0.25">
      <c r="A64" s="14"/>
      <c r="B64" s="50" t="s">
        <v>101</v>
      </c>
      <c r="C64" s="50"/>
      <c r="D64" s="50"/>
      <c r="E64" s="50"/>
      <c r="F64" s="50"/>
      <c r="G64" s="19" t="s">
        <v>110</v>
      </c>
      <c r="H64" s="50" t="s">
        <v>17</v>
      </c>
      <c r="I64" s="65"/>
      <c r="J64" s="50" t="s">
        <v>116</v>
      </c>
      <c r="K64" s="65"/>
      <c r="L64" s="65"/>
      <c r="M64" s="14"/>
    </row>
    <row r="65" spans="1:13" ht="69.95" customHeight="1" x14ac:dyDescent="0.25">
      <c r="A65" s="14"/>
      <c r="B65" s="81" t="s">
        <v>104</v>
      </c>
      <c r="C65" s="82"/>
      <c r="D65" s="82"/>
      <c r="E65" s="82"/>
      <c r="F65" s="83"/>
      <c r="G65" s="20" t="s">
        <v>115</v>
      </c>
      <c r="H65" s="29" t="s">
        <v>119</v>
      </c>
      <c r="I65" s="30"/>
      <c r="J65" s="60"/>
      <c r="K65" s="59"/>
      <c r="L65" s="59"/>
      <c r="M65" s="14"/>
    </row>
    <row r="66" spans="1:13" ht="69.95" customHeight="1" x14ac:dyDescent="0.25">
      <c r="A66" s="14"/>
      <c r="B66" s="81" t="s">
        <v>90</v>
      </c>
      <c r="C66" s="82"/>
      <c r="D66" s="82"/>
      <c r="E66" s="82"/>
      <c r="F66" s="83"/>
      <c r="G66" s="20" t="s">
        <v>114</v>
      </c>
      <c r="H66" s="29" t="s">
        <v>119</v>
      </c>
      <c r="I66" s="30"/>
      <c r="J66" s="60"/>
      <c r="K66" s="59"/>
      <c r="L66" s="59"/>
      <c r="M66" s="14"/>
    </row>
    <row r="67" spans="1:13" ht="69.95" customHeight="1" x14ac:dyDescent="0.25">
      <c r="A67" s="14"/>
      <c r="B67" s="81" t="s">
        <v>113</v>
      </c>
      <c r="C67" s="82"/>
      <c r="D67" s="82"/>
      <c r="E67" s="82"/>
      <c r="F67" s="83"/>
      <c r="G67" s="21" t="s">
        <v>112</v>
      </c>
      <c r="H67" s="29" t="s">
        <v>119</v>
      </c>
      <c r="I67" s="30"/>
      <c r="J67" s="60"/>
      <c r="K67" s="59"/>
      <c r="L67" s="59"/>
      <c r="M67" s="14"/>
    </row>
    <row r="68" spans="1:13" ht="69.95" customHeight="1" x14ac:dyDescent="0.25">
      <c r="A68" s="14"/>
      <c r="B68" s="81" t="s">
        <v>102</v>
      </c>
      <c r="C68" s="82"/>
      <c r="D68" s="82"/>
      <c r="E68" s="82"/>
      <c r="F68" s="83"/>
      <c r="G68" s="22" t="s">
        <v>111</v>
      </c>
      <c r="H68" s="29" t="s">
        <v>119</v>
      </c>
      <c r="I68" s="30"/>
      <c r="J68" s="60"/>
      <c r="K68" s="59"/>
      <c r="L68" s="59"/>
      <c r="M68" s="14"/>
    </row>
    <row r="69" spans="1:13" ht="69.95" customHeight="1" x14ac:dyDescent="0.25">
      <c r="A69" s="14"/>
      <c r="B69" s="81" t="s">
        <v>103</v>
      </c>
      <c r="C69" s="82"/>
      <c r="D69" s="82"/>
      <c r="E69" s="82"/>
      <c r="F69" s="83"/>
      <c r="G69" s="22" t="s">
        <v>111</v>
      </c>
      <c r="H69" s="29" t="s">
        <v>119</v>
      </c>
      <c r="I69" s="30"/>
      <c r="J69" s="60"/>
      <c r="K69" s="59"/>
      <c r="L69" s="59"/>
      <c r="M69" s="14"/>
    </row>
    <row r="70" spans="1:13" ht="69.95" customHeight="1" x14ac:dyDescent="0.25">
      <c r="A70" s="14"/>
      <c r="B70" s="81" t="s">
        <v>106</v>
      </c>
      <c r="C70" s="82"/>
      <c r="D70" s="82"/>
      <c r="E70" s="82"/>
      <c r="F70" s="83"/>
      <c r="G70" s="22" t="s">
        <v>111</v>
      </c>
      <c r="H70" s="29" t="s">
        <v>119</v>
      </c>
      <c r="I70" s="30"/>
      <c r="J70" s="60"/>
      <c r="K70" s="59"/>
      <c r="L70" s="59"/>
      <c r="M70" s="14"/>
    </row>
    <row r="71" spans="1:13" ht="69.95" customHeight="1" x14ac:dyDescent="0.25">
      <c r="A71" s="14"/>
      <c r="B71" s="81" t="s">
        <v>107</v>
      </c>
      <c r="C71" s="82"/>
      <c r="D71" s="82"/>
      <c r="E71" s="82"/>
      <c r="F71" s="83"/>
      <c r="G71" s="22" t="s">
        <v>111</v>
      </c>
      <c r="H71" s="29" t="s">
        <v>119</v>
      </c>
      <c r="I71" s="30"/>
      <c r="J71" s="60"/>
      <c r="K71" s="59"/>
      <c r="L71" s="59"/>
      <c r="M71" s="14"/>
    </row>
    <row r="72" spans="1:13" ht="69.95" customHeight="1" x14ac:dyDescent="0.25">
      <c r="A72" s="14"/>
      <c r="B72" s="81" t="s">
        <v>108</v>
      </c>
      <c r="C72" s="82"/>
      <c r="D72" s="82"/>
      <c r="E72" s="82"/>
      <c r="F72" s="83"/>
      <c r="G72" s="22" t="s">
        <v>111</v>
      </c>
      <c r="H72" s="29" t="s">
        <v>119</v>
      </c>
      <c r="I72" s="30"/>
      <c r="J72" s="60"/>
      <c r="K72" s="59"/>
      <c r="L72" s="59"/>
      <c r="M72" s="14"/>
    </row>
    <row r="73" spans="1:13" ht="69.95" customHeight="1" x14ac:dyDescent="0.25">
      <c r="A73" s="14"/>
      <c r="B73" s="81" t="s">
        <v>105</v>
      </c>
      <c r="C73" s="82"/>
      <c r="D73" s="82"/>
      <c r="E73" s="82"/>
      <c r="F73" s="83"/>
      <c r="G73" s="22" t="s">
        <v>111</v>
      </c>
      <c r="H73" s="29" t="s">
        <v>119</v>
      </c>
      <c r="I73" s="30"/>
      <c r="J73" s="60"/>
      <c r="K73" s="59"/>
      <c r="L73" s="59"/>
      <c r="M73" s="14"/>
    </row>
    <row r="74" spans="1:13" ht="69.95" customHeight="1" x14ac:dyDescent="0.25">
      <c r="A74" s="14"/>
      <c r="B74" s="81" t="s">
        <v>109</v>
      </c>
      <c r="C74" s="82"/>
      <c r="D74" s="82"/>
      <c r="E74" s="82"/>
      <c r="F74" s="83"/>
      <c r="G74" s="22" t="s">
        <v>111</v>
      </c>
      <c r="H74" s="29" t="s">
        <v>119</v>
      </c>
      <c r="I74" s="30"/>
      <c r="J74" s="60"/>
      <c r="K74" s="59"/>
      <c r="L74" s="59"/>
      <c r="M74" s="14"/>
    </row>
    <row r="75" spans="1:13" ht="15.9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24.95" customHeight="1" x14ac:dyDescent="0.25">
      <c r="A76" s="14"/>
      <c r="B76" s="54" t="s">
        <v>74</v>
      </c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4"/>
    </row>
    <row r="77" spans="1:13" ht="15.95" customHeight="1" x14ac:dyDescent="0.25">
      <c r="A77" s="14"/>
      <c r="B77" s="50" t="s">
        <v>18</v>
      </c>
      <c r="C77" s="65"/>
      <c r="D77" s="65"/>
      <c r="E77" s="65"/>
      <c r="F77" s="65"/>
      <c r="G77" s="65"/>
      <c r="H77" s="50" t="s">
        <v>19</v>
      </c>
      <c r="I77" s="65"/>
      <c r="J77" s="50" t="s">
        <v>4</v>
      </c>
      <c r="K77" s="65"/>
      <c r="L77" s="65"/>
      <c r="M77" s="14"/>
    </row>
    <row r="78" spans="1:13" ht="30" customHeight="1" x14ac:dyDescent="0.25">
      <c r="A78" s="14"/>
      <c r="B78" s="57" t="s">
        <v>169</v>
      </c>
      <c r="C78" s="66"/>
      <c r="D78" s="66"/>
      <c r="E78" s="66"/>
      <c r="F78" s="66"/>
      <c r="G78" s="66"/>
      <c r="H78" s="63" t="s">
        <v>121</v>
      </c>
      <c r="I78" s="64"/>
      <c r="J78" s="58"/>
      <c r="K78" s="59"/>
      <c r="L78" s="59"/>
      <c r="M78" s="14"/>
    </row>
    <row r="79" spans="1:13" ht="30" customHeight="1" x14ac:dyDescent="0.25">
      <c r="A79" s="14"/>
      <c r="B79" s="27" t="s">
        <v>170</v>
      </c>
      <c r="C79" s="28"/>
      <c r="D79" s="28"/>
      <c r="E79" s="28"/>
      <c r="F79" s="28"/>
      <c r="G79" s="28"/>
      <c r="H79" s="63" t="s">
        <v>121</v>
      </c>
      <c r="I79" s="64"/>
      <c r="J79" s="58"/>
      <c r="K79" s="59"/>
      <c r="L79" s="59"/>
      <c r="M79" s="14"/>
    </row>
    <row r="80" spans="1:13" ht="30" customHeight="1" x14ac:dyDescent="0.25">
      <c r="A80" s="14"/>
      <c r="B80" s="27" t="s">
        <v>170</v>
      </c>
      <c r="C80" s="28"/>
      <c r="D80" s="28"/>
      <c r="E80" s="28"/>
      <c r="F80" s="28"/>
      <c r="G80" s="28"/>
      <c r="H80" s="63" t="s">
        <v>121</v>
      </c>
      <c r="I80" s="64"/>
      <c r="J80" s="58"/>
      <c r="K80" s="59"/>
      <c r="L80" s="59"/>
      <c r="M80" s="14"/>
    </row>
    <row r="81" spans="1:13" ht="30" customHeight="1" x14ac:dyDescent="0.25">
      <c r="A81" s="14"/>
      <c r="B81" s="27" t="s">
        <v>170</v>
      </c>
      <c r="C81" s="28"/>
      <c r="D81" s="28"/>
      <c r="E81" s="28"/>
      <c r="F81" s="28"/>
      <c r="G81" s="28"/>
      <c r="H81" s="63" t="s">
        <v>121</v>
      </c>
      <c r="I81" s="64"/>
      <c r="J81" s="58"/>
      <c r="K81" s="59"/>
      <c r="L81" s="59"/>
      <c r="M81" s="14"/>
    </row>
    <row r="82" spans="1:13" ht="30" customHeight="1" x14ac:dyDescent="0.25">
      <c r="A82" s="14"/>
      <c r="B82" s="27" t="s">
        <v>170</v>
      </c>
      <c r="C82" s="28"/>
      <c r="D82" s="28"/>
      <c r="E82" s="28"/>
      <c r="F82" s="28"/>
      <c r="G82" s="28"/>
      <c r="H82" s="63" t="s">
        <v>121</v>
      </c>
      <c r="I82" s="64"/>
      <c r="J82" s="58"/>
      <c r="K82" s="59"/>
      <c r="L82" s="59"/>
      <c r="M82" s="14"/>
    </row>
    <row r="83" spans="1:13" ht="30" customHeight="1" x14ac:dyDescent="0.25">
      <c r="A83" s="14"/>
      <c r="B83" s="27" t="s">
        <v>170</v>
      </c>
      <c r="C83" s="28"/>
      <c r="D83" s="28"/>
      <c r="E83" s="28"/>
      <c r="F83" s="28"/>
      <c r="G83" s="28"/>
      <c r="H83" s="63" t="s">
        <v>121</v>
      </c>
      <c r="I83" s="64"/>
      <c r="J83" s="58"/>
      <c r="K83" s="59"/>
      <c r="L83" s="59"/>
      <c r="M83" s="14"/>
    </row>
    <row r="84" spans="1:13" ht="30" customHeight="1" x14ac:dyDescent="0.25">
      <c r="A84" s="14"/>
      <c r="B84" s="27" t="s">
        <v>170</v>
      </c>
      <c r="C84" s="28"/>
      <c r="D84" s="28"/>
      <c r="E84" s="28"/>
      <c r="F84" s="28"/>
      <c r="G84" s="28"/>
      <c r="H84" s="63" t="s">
        <v>121</v>
      </c>
      <c r="I84" s="64"/>
      <c r="J84" s="58"/>
      <c r="K84" s="59"/>
      <c r="L84" s="59"/>
      <c r="M84" s="14"/>
    </row>
    <row r="85" spans="1:13" ht="30" customHeight="1" x14ac:dyDescent="0.25">
      <c r="A85" s="14"/>
      <c r="B85" s="27" t="s">
        <v>170</v>
      </c>
      <c r="C85" s="28"/>
      <c r="D85" s="28"/>
      <c r="E85" s="28"/>
      <c r="F85" s="28"/>
      <c r="G85" s="28"/>
      <c r="H85" s="63" t="s">
        <v>121</v>
      </c>
      <c r="I85" s="64"/>
      <c r="J85" s="58"/>
      <c r="K85" s="59"/>
      <c r="L85" s="59"/>
      <c r="M85" s="14"/>
    </row>
    <row r="86" spans="1:13" ht="30" customHeight="1" x14ac:dyDescent="0.25">
      <c r="A86" s="14"/>
      <c r="B86" s="27" t="s">
        <v>170</v>
      </c>
      <c r="C86" s="28"/>
      <c r="D86" s="28"/>
      <c r="E86" s="28"/>
      <c r="F86" s="28"/>
      <c r="G86" s="28"/>
      <c r="H86" s="63" t="s">
        <v>121</v>
      </c>
      <c r="I86" s="64"/>
      <c r="J86" s="58"/>
      <c r="K86" s="59"/>
      <c r="L86" s="59"/>
      <c r="M86" s="14"/>
    </row>
    <row r="87" spans="1:13" ht="15.9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24.95" customHeight="1" x14ac:dyDescent="0.25">
      <c r="A88" s="14"/>
      <c r="B88" s="54" t="s">
        <v>75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4"/>
    </row>
    <row r="89" spans="1:13" ht="34.5" customHeight="1" x14ac:dyDescent="0.25">
      <c r="A89" s="14"/>
      <c r="B89" s="38" t="s">
        <v>141</v>
      </c>
      <c r="C89" s="39"/>
      <c r="D89" s="40" t="str">
        <f>IF(OR(H65="NO",H66="NO",H67="NO",H68="NO",H69="NO",H70="NO",H71="NO",H72="NO",H73="NO",H74="NO"),"NO CUMPLE","CUMPLE")</f>
        <v>NO CUMPLE</v>
      </c>
      <c r="E89" s="40"/>
      <c r="F89" s="40"/>
      <c r="G89" s="40"/>
      <c r="H89" s="40"/>
      <c r="I89" s="40"/>
      <c r="J89" s="40"/>
      <c r="K89" s="40"/>
      <c r="L89" s="40"/>
      <c r="M89" s="14"/>
    </row>
    <row r="90" spans="1:13" ht="80.099999999999994" customHeight="1" x14ac:dyDescent="0.25">
      <c r="A90" s="14"/>
      <c r="B90" s="38" t="s">
        <v>4</v>
      </c>
      <c r="C90" s="39"/>
      <c r="D90" s="86"/>
      <c r="E90" s="87"/>
      <c r="F90" s="87"/>
      <c r="G90" s="87"/>
      <c r="H90" s="87"/>
      <c r="I90" s="87"/>
      <c r="J90" s="87"/>
      <c r="K90" s="87"/>
      <c r="L90" s="87"/>
      <c r="M90" s="14"/>
    </row>
    <row r="91" spans="1:13" ht="80.099999999999994" customHeight="1" x14ac:dyDescent="0.25">
      <c r="A91" s="14"/>
      <c r="B91" s="38" t="s">
        <v>123</v>
      </c>
      <c r="C91" s="39"/>
      <c r="D91" s="86"/>
      <c r="E91" s="87"/>
      <c r="F91" s="87"/>
      <c r="G91" s="87"/>
      <c r="H91" s="87"/>
      <c r="I91" s="87"/>
      <c r="J91" s="87"/>
      <c r="K91" s="87"/>
      <c r="L91" s="87"/>
      <c r="M91" s="14"/>
    </row>
    <row r="92" spans="1:13" ht="30" customHeight="1" x14ac:dyDescent="0.25">
      <c r="A92" s="14"/>
      <c r="B92" s="38" t="s">
        <v>124</v>
      </c>
      <c r="C92" s="38"/>
      <c r="D92" s="88"/>
      <c r="E92" s="88"/>
      <c r="F92" s="88"/>
      <c r="G92" s="38" t="s">
        <v>125</v>
      </c>
      <c r="H92" s="39"/>
      <c r="I92" s="84"/>
      <c r="J92" s="85"/>
      <c r="K92" s="85"/>
      <c r="L92" s="85"/>
      <c r="M92" s="14"/>
    </row>
    <row r="93" spans="1:13" ht="15.9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95" hidden="1" customHeight="1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95" hidden="1" customHeight="1" x14ac:dyDescent="0.25"/>
    <row r="96" spans="1:13" ht="15.95" hidden="1" customHeight="1" x14ac:dyDescent="0.25"/>
    <row r="97" customFormat="1" ht="15.95" hidden="1" customHeight="1" x14ac:dyDescent="0.25"/>
    <row r="98" customFormat="1" ht="15.95" hidden="1" customHeight="1" x14ac:dyDescent="0.25"/>
    <row r="99" customFormat="1" ht="15.95" hidden="1" customHeight="1" x14ac:dyDescent="0.25"/>
    <row r="100" customFormat="1" ht="15.95" hidden="1" customHeight="1" x14ac:dyDescent="0.25"/>
    <row r="101" customFormat="1" ht="15.95" hidden="1" customHeight="1" x14ac:dyDescent="0.25"/>
    <row r="102" customFormat="1" ht="15.95" hidden="1" customHeight="1" x14ac:dyDescent="0.25"/>
    <row r="103" customFormat="1" ht="15.95" hidden="1" customHeight="1" x14ac:dyDescent="0.25"/>
    <row r="104" customFormat="1" ht="15.95" hidden="1" customHeight="1" x14ac:dyDescent="0.25"/>
    <row r="105" customFormat="1" ht="15.95" hidden="1" customHeight="1" x14ac:dyDescent="0.25"/>
    <row r="106" customFormat="1" ht="15.95" hidden="1" customHeight="1" x14ac:dyDescent="0.25"/>
    <row r="107" customFormat="1" ht="15.95" hidden="1" customHeight="1" x14ac:dyDescent="0.25"/>
    <row r="108" customFormat="1" ht="15.95" hidden="1" customHeight="1" x14ac:dyDescent="0.25"/>
    <row r="109" customFormat="1" ht="15.95" hidden="1" customHeight="1" x14ac:dyDescent="0.25"/>
    <row r="110" customFormat="1" ht="15.95" hidden="1" customHeight="1" x14ac:dyDescent="0.25"/>
    <row r="111" customFormat="1" ht="15.95" hidden="1" customHeight="1" x14ac:dyDescent="0.25"/>
    <row r="112" customFormat="1" ht="15.95" hidden="1" customHeight="1" x14ac:dyDescent="0.25"/>
    <row r="113" customFormat="1" ht="15.95" hidden="1" customHeight="1" x14ac:dyDescent="0.25"/>
    <row r="114" customFormat="1" ht="15.95" hidden="1" customHeight="1" x14ac:dyDescent="0.25"/>
    <row r="115" customFormat="1" ht="15.95" hidden="1" customHeight="1" x14ac:dyDescent="0.25"/>
    <row r="116" customFormat="1" ht="15.95" hidden="1" customHeight="1" x14ac:dyDescent="0.25"/>
    <row r="117" customFormat="1" ht="15.95" hidden="1" customHeight="1" x14ac:dyDescent="0.25"/>
    <row r="118" customFormat="1" ht="15.95" hidden="1" customHeight="1" x14ac:dyDescent="0.25"/>
    <row r="119" customFormat="1" ht="15.95" hidden="1" customHeight="1" x14ac:dyDescent="0.25"/>
    <row r="120" customFormat="1" ht="15.95" hidden="1" customHeight="1" x14ac:dyDescent="0.25"/>
    <row r="121" customFormat="1" ht="15.95" hidden="1" customHeight="1" x14ac:dyDescent="0.25"/>
    <row r="122" customFormat="1" ht="15.95" hidden="1" customHeight="1" x14ac:dyDescent="0.25"/>
    <row r="123" customFormat="1" ht="15.95" hidden="1" customHeight="1" x14ac:dyDescent="0.25"/>
    <row r="124" customFormat="1" ht="15.95" hidden="1" customHeight="1" x14ac:dyDescent="0.25"/>
    <row r="125" customFormat="1" ht="15.95" hidden="1" customHeight="1" x14ac:dyDescent="0.25"/>
    <row r="126" customFormat="1" ht="15.95" hidden="1" customHeight="1" x14ac:dyDescent="0.25"/>
    <row r="127" customFormat="1" ht="15.95" hidden="1" customHeight="1" x14ac:dyDescent="0.25"/>
    <row r="128" customFormat="1" ht="15.95" hidden="1" customHeight="1" x14ac:dyDescent="0.25"/>
  </sheetData>
  <mergeCells count="188">
    <mergeCell ref="C47:D47"/>
    <mergeCell ref="H47:L47"/>
    <mergeCell ref="E47:G47"/>
    <mergeCell ref="B64:F64"/>
    <mergeCell ref="B65:F65"/>
    <mergeCell ref="B66:F66"/>
    <mergeCell ref="B68:F68"/>
    <mergeCell ref="B69:F69"/>
    <mergeCell ref="B70:F70"/>
    <mergeCell ref="H57:L57"/>
    <mergeCell ref="H58:L58"/>
    <mergeCell ref="H59:L59"/>
    <mergeCell ref="H60:L60"/>
    <mergeCell ref="H61:L61"/>
    <mergeCell ref="H65:I65"/>
    <mergeCell ref="B67:F67"/>
    <mergeCell ref="H67:I67"/>
    <mergeCell ref="J67:L67"/>
    <mergeCell ref="J68:L68"/>
    <mergeCell ref="J69:L69"/>
    <mergeCell ref="H68:I68"/>
    <mergeCell ref="H69:I69"/>
    <mergeCell ref="C48:D48"/>
    <mergeCell ref="E48:G48"/>
    <mergeCell ref="B1:D1"/>
    <mergeCell ref="E1:I1"/>
    <mergeCell ref="B2:L2"/>
    <mergeCell ref="H23:L23"/>
    <mergeCell ref="C23:F23"/>
    <mergeCell ref="C57:D57"/>
    <mergeCell ref="C58:D58"/>
    <mergeCell ref="C60:D60"/>
    <mergeCell ref="C61:D61"/>
    <mergeCell ref="E55:G55"/>
    <mergeCell ref="E56:G56"/>
    <mergeCell ref="E57:G57"/>
    <mergeCell ref="E58:G58"/>
    <mergeCell ref="E60:G60"/>
    <mergeCell ref="E61:G61"/>
    <mergeCell ref="C59:D59"/>
    <mergeCell ref="E59:G59"/>
    <mergeCell ref="B25:L25"/>
    <mergeCell ref="C52:D52"/>
    <mergeCell ref="E45:G45"/>
    <mergeCell ref="E46:G46"/>
    <mergeCell ref="H42:L42"/>
    <mergeCell ref="H41:L41"/>
    <mergeCell ref="H40:L40"/>
    <mergeCell ref="C8:G8"/>
    <mergeCell ref="C9:G9"/>
    <mergeCell ref="C10:G10"/>
    <mergeCell ref="C17:F17"/>
    <mergeCell ref="H16:L16"/>
    <mergeCell ref="B20:L20"/>
    <mergeCell ref="C21:F21"/>
    <mergeCell ref="C22:F22"/>
    <mergeCell ref="H21:L21"/>
    <mergeCell ref="H22:L22"/>
    <mergeCell ref="C13:F13"/>
    <mergeCell ref="C14:F14"/>
    <mergeCell ref="C15:F15"/>
    <mergeCell ref="H15:L15"/>
    <mergeCell ref="H14:L14"/>
    <mergeCell ref="H13:L13"/>
    <mergeCell ref="H17:L17"/>
    <mergeCell ref="C18:F18"/>
    <mergeCell ref="H18:L18"/>
    <mergeCell ref="C16:F16"/>
    <mergeCell ref="J80:L80"/>
    <mergeCell ref="B71:F71"/>
    <mergeCell ref="B72:F72"/>
    <mergeCell ref="H38:L38"/>
    <mergeCell ref="H39:L39"/>
    <mergeCell ref="H37:L37"/>
    <mergeCell ref="C32:G32"/>
    <mergeCell ref="H32:L32"/>
    <mergeCell ref="C33:G33"/>
    <mergeCell ref="H33:L33"/>
    <mergeCell ref="C34:G34"/>
    <mergeCell ref="H34:L34"/>
    <mergeCell ref="E39:G39"/>
    <mergeCell ref="C38:D38"/>
    <mergeCell ref="C40:D40"/>
    <mergeCell ref="C41:D41"/>
    <mergeCell ref="C42:D42"/>
    <mergeCell ref="E38:G38"/>
    <mergeCell ref="E40:G40"/>
    <mergeCell ref="E41:G41"/>
    <mergeCell ref="E42:G42"/>
    <mergeCell ref="H48:L48"/>
    <mergeCell ref="B36:L36"/>
    <mergeCell ref="E37:G37"/>
    <mergeCell ref="G92:H92"/>
    <mergeCell ref="J77:L77"/>
    <mergeCell ref="I92:L92"/>
    <mergeCell ref="D91:L91"/>
    <mergeCell ref="J84:L84"/>
    <mergeCell ref="B83:G83"/>
    <mergeCell ref="D90:L90"/>
    <mergeCell ref="B88:L88"/>
    <mergeCell ref="B92:C92"/>
    <mergeCell ref="D92:F92"/>
    <mergeCell ref="B81:G81"/>
    <mergeCell ref="B77:G77"/>
    <mergeCell ref="H80:I80"/>
    <mergeCell ref="B79:G79"/>
    <mergeCell ref="B90:C90"/>
    <mergeCell ref="B86:G86"/>
    <mergeCell ref="H86:I86"/>
    <mergeCell ref="J85:L85"/>
    <mergeCell ref="J81:L81"/>
    <mergeCell ref="B84:G84"/>
    <mergeCell ref="J78:L78"/>
    <mergeCell ref="H83:I83"/>
    <mergeCell ref="J83:L83"/>
    <mergeCell ref="H81:I81"/>
    <mergeCell ref="B91:C91"/>
    <mergeCell ref="B85:G85"/>
    <mergeCell ref="H29:L29"/>
    <mergeCell ref="H77:I77"/>
    <mergeCell ref="H64:I64"/>
    <mergeCell ref="C26:G26"/>
    <mergeCell ref="H26:L26"/>
    <mergeCell ref="C27:G27"/>
    <mergeCell ref="H27:L27"/>
    <mergeCell ref="E49:G49"/>
    <mergeCell ref="C49:D49"/>
    <mergeCell ref="H49:L49"/>
    <mergeCell ref="C28:G28"/>
    <mergeCell ref="H28:L28"/>
    <mergeCell ref="C30:G30"/>
    <mergeCell ref="C29:G29"/>
    <mergeCell ref="B63:L63"/>
    <mergeCell ref="B73:F73"/>
    <mergeCell ref="B74:F74"/>
    <mergeCell ref="H78:I78"/>
    <mergeCell ref="J70:L70"/>
    <mergeCell ref="J79:L79"/>
    <mergeCell ref="H74:I74"/>
    <mergeCell ref="H71:I71"/>
    <mergeCell ref="C51:D51"/>
    <mergeCell ref="B80:G80"/>
    <mergeCell ref="J82:L82"/>
    <mergeCell ref="J72:L72"/>
    <mergeCell ref="B76:L76"/>
    <mergeCell ref="B12:L12"/>
    <mergeCell ref="J86:L86"/>
    <mergeCell ref="H85:I85"/>
    <mergeCell ref="J64:L64"/>
    <mergeCell ref="B78:G78"/>
    <mergeCell ref="H73:I73"/>
    <mergeCell ref="J73:L73"/>
    <mergeCell ref="H30:L30"/>
    <mergeCell ref="C37:D37"/>
    <mergeCell ref="C39:D39"/>
    <mergeCell ref="J65:L65"/>
    <mergeCell ref="H70:I70"/>
    <mergeCell ref="J66:L66"/>
    <mergeCell ref="J74:L74"/>
    <mergeCell ref="J71:L71"/>
    <mergeCell ref="H72:I72"/>
    <mergeCell ref="H84:I84"/>
    <mergeCell ref="H82:I82"/>
    <mergeCell ref="H79:I79"/>
    <mergeCell ref="B82:G82"/>
    <mergeCell ref="H66:I66"/>
    <mergeCell ref="J1:K1"/>
    <mergeCell ref="C31:G31"/>
    <mergeCell ref="H31:L31"/>
    <mergeCell ref="B89:C89"/>
    <mergeCell ref="D89:L89"/>
    <mergeCell ref="C50:D50"/>
    <mergeCell ref="E50:G50"/>
    <mergeCell ref="H50:L50"/>
    <mergeCell ref="C56:D56"/>
    <mergeCell ref="H55:L55"/>
    <mergeCell ref="H56:L56"/>
    <mergeCell ref="B44:L44"/>
    <mergeCell ref="B54:L54"/>
    <mergeCell ref="E51:G51"/>
    <mergeCell ref="E52:G52"/>
    <mergeCell ref="H45:L45"/>
    <mergeCell ref="H46:L46"/>
    <mergeCell ref="H52:L52"/>
    <mergeCell ref="H51:L51"/>
    <mergeCell ref="C55:D55"/>
    <mergeCell ref="C45:D45"/>
    <mergeCell ref="C46:D46"/>
  </mergeCells>
  <conditionalFormatting sqref="D89:L89">
    <cfRule type="cellIs" dxfId="6" priority="1" operator="equal">
      <formula>"CUMPLE"</formula>
    </cfRule>
    <cfRule type="cellIs" dxfId="5" priority="2" operator="equal">
      <formula>"NO CUMPLE"</formula>
    </cfRule>
  </conditionalFormatting>
  <conditionalFormatting sqref="H65:I74">
    <cfRule type="cellIs" dxfId="4" priority="6" operator="equal">
      <formula>"NO"</formula>
    </cfRule>
    <cfRule type="cellIs" dxfId="3" priority="7" operator="equal">
      <formula>"SI"</formula>
    </cfRule>
  </conditionalFormatting>
  <conditionalFormatting sqref="H78:I78">
    <cfRule type="cellIs" dxfId="2" priority="3" operator="equal">
      <formula>"No aplica"</formula>
    </cfRule>
  </conditionalFormatting>
  <conditionalFormatting sqref="H78:I86">
    <cfRule type="cellIs" dxfId="1" priority="4" operator="equal">
      <formula>"RECIBIDO"</formula>
    </cfRule>
    <cfRule type="cellIs" dxfId="0" priority="5" operator="equal">
      <formula>"PENDIENTE"</formula>
    </cfRule>
  </conditionalFormatting>
  <hyperlinks>
    <hyperlink ref="H13" r:id="rId1" xr:uid="{26941DB6-FA3E-47D0-A272-FED49E9D0D86}"/>
  </hyperlinks>
  <pageMargins left="0.75" right="0.75" top="1" bottom="1" header="0.5" footer="0.5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prompt="Seleccionar de la lista desplegable." xr:uid="{224A7816-D08D-4B73-A779-03F2A817DD5C}">
          <x14:formula1>
            <xm:f>listas_desplegables!$C$2:$C$4</xm:f>
          </x14:formula1>
          <xm:sqref>H14</xm:sqref>
        </x14:dataValidation>
        <x14:dataValidation type="list" allowBlank="1" showInputMessage="1" showErrorMessage="1" xr:uid="{33D53E9C-20D9-41D1-9020-05AFCCF020E5}">
          <x14:formula1>
            <xm:f>listas_desplegables!$E$2:$E$4</xm:f>
          </x14:formula1>
          <xm:sqref>H15</xm:sqref>
        </x14:dataValidation>
        <x14:dataValidation type="list" allowBlank="1" showInputMessage="1" showErrorMessage="1" xr:uid="{FECE1640-88CA-4E4B-88A5-4017C38E66D2}">
          <x14:formula1>
            <xm:f>listas_desplegables!$G$2:$G$5</xm:f>
          </x14:formula1>
          <xm:sqref>C31:G31</xm:sqref>
        </x14:dataValidation>
        <x14:dataValidation type="list" allowBlank="1" showInputMessage="1" showErrorMessage="1" xr:uid="{FD86CF11-1B80-4E3D-AA9D-64693DEF4CAD}">
          <x14:formula1>
            <xm:f>listas_desplegables!$I$2:$I$4</xm:f>
          </x14:formula1>
          <xm:sqref>C33:G33</xm:sqref>
        </x14:dataValidation>
        <x14:dataValidation type="list" allowBlank="1" showInputMessage="1" showErrorMessage="1" xr:uid="{71386394-94B6-4288-A229-E25B74BDA6DE}">
          <x14:formula1>
            <xm:f>listas_desplegables!$L$2:$L$3</xm:f>
          </x14:formula1>
          <xm:sqref>C34:G34</xm:sqref>
        </x14:dataValidation>
        <x14:dataValidation type="list" allowBlank="1" showInputMessage="1" showErrorMessage="1" xr:uid="{737FE467-1AEF-49D1-9CEE-8E82FB06055A}">
          <x14:formula1>
            <xm:f>listas_desplegables!$S$2:$S$3</xm:f>
          </x14:formula1>
          <xm:sqref>H79:I86</xm:sqref>
        </x14:dataValidation>
        <x14:dataValidation type="list" allowBlank="1" showInputMessage="1" showErrorMessage="1" xr:uid="{6ABB14D9-E6CD-45F5-8F54-ED6B23DA1BC9}">
          <x14:formula1>
            <xm:f>listas_desplegables!$Q$2:$Q$3</xm:f>
          </x14:formula1>
          <xm:sqref>H65:I74</xm:sqref>
        </x14:dataValidation>
        <x14:dataValidation type="list" allowBlank="1" showInputMessage="1" showErrorMessage="1" xr:uid="{10CF7084-F963-4C86-AF1F-2FC77C69EED8}">
          <x14:formula1>
            <xm:f>listas_desplegables!$S$2:$S$4</xm:f>
          </x14:formula1>
          <xm:sqref>H78:I78</xm:sqref>
        </x14:dataValidation>
        <x14:dataValidation type="list" allowBlank="1" showInputMessage="1" showErrorMessage="1" xr:uid="{C0606DEA-1A79-45CF-ADE2-09D7CCE29265}">
          <x14:formula1>
            <xm:f>listas_desplegables!$U$2:$U$3</xm:f>
          </x14:formula1>
          <xm:sqref>C47:D47</xm:sqref>
        </x14:dataValidation>
        <x14:dataValidation type="list" allowBlank="1" showInputMessage="1" showErrorMessage="1" xr:uid="{A78B9737-A583-49AE-B323-3B96F0E4CC05}">
          <x14:formula1>
            <xm:f>listas_desplegables!$A$2:$A$23</xm:f>
          </x14:formula1>
          <xm:sqref>C17:F17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D868-6A68-46DA-A134-C9C1FF6B1529}">
  <sheetPr>
    <tabColor theme="0" tint="-0.499984740745262"/>
  </sheetPr>
  <dimension ref="A1:U23"/>
  <sheetViews>
    <sheetView topLeftCell="D1" workbookViewId="0">
      <selection activeCell="M14" sqref="M14"/>
    </sheetView>
  </sheetViews>
  <sheetFormatPr baseColWidth="10" defaultRowHeight="15" x14ac:dyDescent="0.25"/>
  <cols>
    <col min="1" max="1" width="33.42578125" bestFit="1" customWidth="1"/>
    <col min="3" max="3" width="23.140625" bestFit="1" customWidth="1"/>
    <col min="5" max="5" width="24.140625" bestFit="1" customWidth="1"/>
    <col min="7" max="7" width="14.5703125" bestFit="1" customWidth="1"/>
    <col min="9" max="9" width="26.7109375" bestFit="1" customWidth="1"/>
    <col min="10" max="10" width="74.140625" customWidth="1"/>
    <col min="12" max="12" width="14.7109375" customWidth="1"/>
    <col min="14" max="14" width="20.85546875" customWidth="1"/>
    <col min="15" max="15" width="15.85546875" bestFit="1" customWidth="1"/>
    <col min="17" max="17" width="16.140625" customWidth="1"/>
    <col min="19" max="19" width="13.28515625" customWidth="1"/>
    <col min="21" max="21" width="16.7109375" customWidth="1"/>
  </cols>
  <sheetData>
    <row r="1" spans="1:21" ht="25.5" x14ac:dyDescent="0.25">
      <c r="A1" s="4" t="s">
        <v>145</v>
      </c>
      <c r="C1" s="4" t="s">
        <v>23</v>
      </c>
      <c r="E1" s="4" t="s">
        <v>28</v>
      </c>
      <c r="G1" s="4" t="s">
        <v>38</v>
      </c>
      <c r="I1" s="4" t="s">
        <v>46</v>
      </c>
      <c r="J1" s="4" t="s">
        <v>53</v>
      </c>
      <c r="L1" s="4" t="s">
        <v>55</v>
      </c>
      <c r="N1" s="4" t="s">
        <v>70</v>
      </c>
      <c r="O1" s="4" t="s">
        <v>67</v>
      </c>
      <c r="Q1" s="4" t="s">
        <v>88</v>
      </c>
      <c r="S1" s="4" t="s">
        <v>120</v>
      </c>
      <c r="U1" s="4" t="s">
        <v>132</v>
      </c>
    </row>
    <row r="2" spans="1:21" ht="38.25" x14ac:dyDescent="0.25">
      <c r="A2" s="7" t="s">
        <v>152</v>
      </c>
      <c r="C2" s="7" t="s">
        <v>24</v>
      </c>
      <c r="E2" s="7" t="s">
        <v>32</v>
      </c>
      <c r="G2" s="7" t="s">
        <v>39</v>
      </c>
      <c r="I2" s="9" t="s">
        <v>47</v>
      </c>
      <c r="J2" s="8" t="s">
        <v>50</v>
      </c>
      <c r="L2" s="7" t="s">
        <v>56</v>
      </c>
      <c r="N2" s="11">
        <v>0.49220000000000003</v>
      </c>
      <c r="O2" s="8" t="s">
        <v>68</v>
      </c>
      <c r="Q2" s="8" t="s">
        <v>118</v>
      </c>
      <c r="S2" s="8" t="s">
        <v>121</v>
      </c>
      <c r="U2" s="8" t="s">
        <v>133</v>
      </c>
    </row>
    <row r="3" spans="1:21" ht="38.25" x14ac:dyDescent="0.25">
      <c r="A3" s="7" t="s">
        <v>154</v>
      </c>
      <c r="C3" s="7" t="s">
        <v>25</v>
      </c>
      <c r="E3" s="7" t="s">
        <v>34</v>
      </c>
      <c r="G3" s="7" t="s">
        <v>40</v>
      </c>
      <c r="I3" s="9" t="s">
        <v>48</v>
      </c>
      <c r="J3" s="8" t="s">
        <v>51</v>
      </c>
      <c r="L3" s="7" t="s">
        <v>57</v>
      </c>
      <c r="N3" s="11">
        <v>0.45669999999999999</v>
      </c>
      <c r="O3" s="8" t="s">
        <v>66</v>
      </c>
      <c r="Q3" s="18" t="s">
        <v>119</v>
      </c>
      <c r="S3" s="8" t="s">
        <v>122</v>
      </c>
      <c r="U3" s="8" t="s">
        <v>134</v>
      </c>
    </row>
    <row r="4" spans="1:21" ht="63" customHeight="1" x14ac:dyDescent="0.25">
      <c r="A4" s="7" t="s">
        <v>161</v>
      </c>
      <c r="C4" s="7" t="s">
        <v>26</v>
      </c>
      <c r="E4" s="7" t="s">
        <v>33</v>
      </c>
      <c r="G4" s="7" t="s">
        <v>41</v>
      </c>
      <c r="I4" s="9" t="s">
        <v>49</v>
      </c>
      <c r="J4" s="8" t="s">
        <v>52</v>
      </c>
      <c r="N4" s="141" t="s">
        <v>69</v>
      </c>
      <c r="O4" s="141"/>
      <c r="P4" s="12"/>
      <c r="S4" s="8" t="s">
        <v>127</v>
      </c>
    </row>
    <row r="5" spans="1:21" x14ac:dyDescent="0.25">
      <c r="A5" s="7" t="s">
        <v>151</v>
      </c>
      <c r="G5" s="7" t="s">
        <v>42</v>
      </c>
    </row>
    <row r="6" spans="1:21" x14ac:dyDescent="0.25">
      <c r="A6" s="7" t="s">
        <v>162</v>
      </c>
    </row>
    <row r="7" spans="1:21" x14ac:dyDescent="0.25">
      <c r="A7" s="7" t="s">
        <v>163</v>
      </c>
    </row>
    <row r="8" spans="1:21" x14ac:dyDescent="0.25">
      <c r="A8" s="7" t="s">
        <v>156</v>
      </c>
    </row>
    <row r="9" spans="1:21" x14ac:dyDescent="0.25">
      <c r="A9" s="7" t="s">
        <v>146</v>
      </c>
    </row>
    <row r="10" spans="1:21" x14ac:dyDescent="0.25">
      <c r="A10" s="7" t="s">
        <v>147</v>
      </c>
    </row>
    <row r="11" spans="1:21" x14ac:dyDescent="0.25">
      <c r="A11" s="7" t="s">
        <v>155</v>
      </c>
    </row>
    <row r="12" spans="1:21" x14ac:dyDescent="0.25">
      <c r="A12" s="7" t="s">
        <v>158</v>
      </c>
    </row>
    <row r="13" spans="1:21" x14ac:dyDescent="0.25">
      <c r="A13" s="7" t="s">
        <v>164</v>
      </c>
    </row>
    <row r="14" spans="1:21" x14ac:dyDescent="0.25">
      <c r="A14" s="7" t="s">
        <v>165</v>
      </c>
    </row>
    <row r="15" spans="1:21" x14ac:dyDescent="0.25">
      <c r="A15" s="7" t="s">
        <v>148</v>
      </c>
    </row>
    <row r="16" spans="1:21" x14ac:dyDescent="0.25">
      <c r="A16" s="7" t="s">
        <v>166</v>
      </c>
    </row>
    <row r="17" spans="1:7" x14ac:dyDescent="0.25">
      <c r="A17" s="7" t="s">
        <v>150</v>
      </c>
      <c r="G17" s="23"/>
    </row>
    <row r="18" spans="1:7" x14ac:dyDescent="0.25">
      <c r="A18" s="7" t="s">
        <v>160</v>
      </c>
    </row>
    <row r="19" spans="1:7" x14ac:dyDescent="0.25">
      <c r="A19" s="7" t="s">
        <v>167</v>
      </c>
    </row>
    <row r="20" spans="1:7" x14ac:dyDescent="0.25">
      <c r="A20" s="7" t="s">
        <v>153</v>
      </c>
    </row>
    <row r="21" spans="1:7" x14ac:dyDescent="0.25">
      <c r="A21" s="7" t="s">
        <v>159</v>
      </c>
    </row>
    <row r="22" spans="1:7" x14ac:dyDescent="0.25">
      <c r="A22" s="7" t="s">
        <v>157</v>
      </c>
    </row>
    <row r="23" spans="1:7" x14ac:dyDescent="0.25">
      <c r="A23" s="7" t="s">
        <v>149</v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FLI CT-001</vt:lpstr>
      <vt:lpstr>listas_desplegables</vt:lpstr>
      <vt:lpstr>listas_desplegables!Área_de_extracción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 Alejandro Borja Goyes</cp:lastModifiedBy>
  <dcterms:created xsi:type="dcterms:W3CDTF">2026-04-23T18:55:08Z</dcterms:created>
  <dcterms:modified xsi:type="dcterms:W3CDTF">2026-05-08T19:59:12Z</dcterms:modified>
</cp:coreProperties>
</file>